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impl\Downloads\QR_PAYgen\"/>
    </mc:Choice>
  </mc:AlternateContent>
  <xr:revisionPtr revIDLastSave="0" documentId="13_ncr:1_{942F1856-947C-4AEC-899B-37F151D1ED23}" xr6:coauthVersionLast="46" xr6:coauthVersionMax="46" xr10:uidLastSave="{00000000-0000-0000-0000-000000000000}"/>
  <bookViews>
    <workbookView xWindow="3240" yWindow="2700" windowWidth="21615" windowHeight="16365" activeTab="1" xr2:uid="{00000000-000D-0000-FFFF-FFFF00000000}"/>
  </bookViews>
  <sheets>
    <sheet name="Decode" sheetId="4" r:id="rId1"/>
    <sheet name="Encode" sheetId="16" r:id="rId2"/>
    <sheet name="DrawTab" sheetId="14" r:id="rId3"/>
    <sheet name="Samples" sheetId="18" r:id="rId4"/>
    <sheet name="InstallerQR" sheetId="17" r:id="rId5"/>
  </sheets>
  <functionGroups builtInGroupCount="19"/>
  <definedNames>
    <definedName name="QRBOX">DrawTab!$B$3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4" l="1"/>
  <c r="B4" i="4" s="1" a="1"/>
  <c r="B4" i="4" s="1"/>
  <c r="G31" i="16"/>
  <c r="G30" i="16"/>
  <c r="G29" i="16"/>
  <c r="G28" i="16"/>
  <c r="G27" i="16"/>
  <c r="G26" i="16"/>
  <c r="G25" i="16"/>
  <c r="G146" i="16"/>
  <c r="G145" i="16"/>
  <c r="G144" i="16"/>
  <c r="G10" i="16"/>
  <c r="G4" i="4"/>
  <c r="G23" i="16"/>
  <c r="G21" i="16"/>
  <c r="G20" i="16"/>
  <c r="G19" i="16"/>
  <c r="G22" i="16"/>
  <c r="G11" i="16"/>
  <c r="F3" i="4"/>
  <c r="G51" i="16"/>
  <c r="F8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94" i="16"/>
  <c r="G44" i="16"/>
  <c r="G45" i="16"/>
  <c r="G46" i="16"/>
  <c r="G47" i="16"/>
  <c r="G48" i="16"/>
  <c r="G49" i="16"/>
  <c r="G50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43" i="16"/>
  <c r="B3" i="14"/>
  <c r="P51" i="18" a="1"/>
  <c r="P53" i="18" a="1"/>
  <c r="P52" i="18" a="1"/>
  <c r="P54" i="18" a="1"/>
  <c r="J3" i="4" a="1"/>
  <c r="N3" i="14"/>
  <c r="P52" i="18" l="1"/>
  <c r="P53" i="18"/>
  <c r="P51" i="18"/>
  <c r="P54" i="18"/>
  <c r="G24" i="16" a="1"/>
  <c r="G24" i="16" s="1"/>
  <c r="G18" i="16" a="1"/>
  <c r="G18" i="16" s="1"/>
  <c r="J3" i="4"/>
  <c r="G42" i="16" a="1"/>
  <c r="G42" i="16" s="1"/>
  <c r="G39" i="16"/>
  <c r="G13" i="16"/>
  <c r="G35" i="16"/>
  <c r="G36" i="16"/>
  <c r="G37" i="16"/>
  <c r="G38" i="16"/>
  <c r="G40" i="16"/>
  <c r="G41" i="16"/>
  <c r="G34" i="16"/>
  <c r="G32" i="16"/>
  <c r="G17" i="16"/>
  <c r="G16" i="16"/>
  <c r="G15" i="16"/>
  <c r="G14" i="16"/>
  <c r="G33" i="16"/>
  <c r="G8" i="16"/>
  <c r="G9" i="16"/>
  <c r="G12" i="16" l="1" a="1"/>
  <c r="G12" i="16" s="1"/>
  <c r="G3" i="16" s="1"/>
  <c r="C3" i="17"/>
  <c r="C2" i="17"/>
  <c r="E31" i="4" l="1"/>
  <c r="E32" i="4"/>
  <c r="E33" i="4"/>
  <c r="E34" i="4"/>
  <c r="E35" i="4"/>
  <c r="E36" i="4"/>
  <c r="E30" i="4"/>
  <c r="B10" i="4"/>
  <c r="C10" i="4" s="1"/>
  <c r="B6" i="4"/>
  <c r="B7" i="4" s="1" a="1"/>
  <c r="B7" i="4" s="1"/>
  <c r="D10" i="4" l="1"/>
  <c r="E10" i="4" s="1"/>
  <c r="B11" i="4" l="1"/>
  <c r="C11" i="4" s="1"/>
  <c r="D11" i="4" s="1"/>
  <c r="E11" i="4" l="1"/>
  <c r="B12" i="4" l="1"/>
  <c r="C12" i="4" l="1"/>
  <c r="D12" i="4" l="1"/>
  <c r="A12" i="4" s="1"/>
  <c r="E12" i="4" l="1"/>
  <c r="B19" i="4" s="1"/>
  <c r="C19" i="4" s="1"/>
  <c r="D19" i="4" s="1"/>
  <c r="C13" i="4"/>
  <c r="D13" i="4" s="1"/>
  <c r="B13" i="4"/>
  <c r="E13" i="4" l="1"/>
  <c r="C14" i="4" s="1"/>
  <c r="D14" i="4" s="1"/>
  <c r="E19" i="4"/>
  <c r="B20" i="4" s="1"/>
  <c r="A20" i="4" s="1"/>
  <c r="B14" i="4" l="1"/>
  <c r="E14" i="4" s="1"/>
  <c r="C20" i="4"/>
  <c r="D20" i="4" s="1"/>
  <c r="B15" i="4" l="1"/>
  <c r="C15" i="4"/>
  <c r="D15" i="4" s="1"/>
  <c r="E20" i="4"/>
  <c r="E15" i="4" l="1"/>
  <c r="B21" i="4"/>
  <c r="A21" i="4" s="1"/>
  <c r="B16" i="4" l="1"/>
  <c r="C16" i="4"/>
  <c r="D16" i="4" s="1"/>
  <c r="C21" i="4"/>
  <c r="D21" i="4" s="1"/>
  <c r="E16" i="4" l="1"/>
  <c r="E21" i="4"/>
  <c r="B22" i="4" s="1"/>
  <c r="C22" i="4" l="1"/>
  <c r="A22" i="4"/>
  <c r="C17" i="4"/>
  <c r="D17" i="4" s="1"/>
  <c r="B17" i="4"/>
  <c r="D22" i="4"/>
  <c r="E22" i="4" s="1"/>
  <c r="E17" i="4" l="1"/>
  <c r="B23" i="4"/>
  <c r="A23" i="4" s="1"/>
  <c r="C18" i="4" l="1"/>
  <c r="D18" i="4" s="1"/>
  <c r="B18" i="4"/>
  <c r="C23" i="4"/>
  <c r="D23" i="4" s="1"/>
  <c r="E18" i="4" l="1"/>
  <c r="E23" i="4"/>
  <c r="B24" i="4" l="1"/>
  <c r="C24" i="4" l="1"/>
  <c r="D24" i="4" l="1"/>
  <c r="E24" i="4" s="1"/>
  <c r="B25" i="4" l="1"/>
  <c r="C25" i="4" l="1"/>
  <c r="D25" i="4" s="1"/>
  <c r="E25" i="4" s="1"/>
  <c r="B26" i="4" l="1"/>
  <c r="A26" i="4" l="1"/>
  <c r="A25" i="4"/>
  <c r="C26" i="4"/>
  <c r="D26" i="4" s="1"/>
  <c r="E26" i="4" l="1"/>
  <c r="B27" i="4" l="1"/>
  <c r="C27" i="4" l="1"/>
  <c r="D27" i="4" s="1"/>
  <c r="E27" i="4" s="1"/>
  <c r="B28" i="4" l="1"/>
  <c r="A28" i="4" l="1"/>
  <c r="A27" i="4"/>
  <c r="C28" i="4"/>
  <c r="D28" i="4" l="1"/>
  <c r="E28" i="4" s="1"/>
  <c r="B29" i="4" s="1"/>
  <c r="A29" i="4" s="1"/>
  <c r="C29" i="4" l="1"/>
  <c r="D29" i="4" s="1"/>
  <c r="A24" i="4" s="1"/>
  <c r="E29" i="4" l="1"/>
  <c r="C2" i="16"/>
  <c r="E3" i="16" s="1" a="1"/>
  <c r="E3" i="16" s="1"/>
  <c r="C5" i="16" a="1"/>
  <c r="C5" i="1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<sst xmlns="http://schemas.openxmlformats.org/spreadsheetml/2006/main" count="1254" uniqueCount="678">
  <si>
    <t>Version</t>
  </si>
  <si>
    <t>Modules</t>
  </si>
  <si>
    <t>Length at L</t>
  </si>
  <si>
    <t>Length at H</t>
  </si>
  <si>
    <t>ID</t>
  </si>
  <si>
    <t>00</t>
  </si>
  <si>
    <t>01</t>
  </si>
  <si>
    <t>Mastercard</t>
  </si>
  <si>
    <t>EMVco</t>
  </si>
  <si>
    <t>Discover</t>
  </si>
  <si>
    <t>AMEX</t>
  </si>
  <si>
    <t>JCB</t>
  </si>
  <si>
    <t>UnionPay</t>
  </si>
  <si>
    <t>Length</t>
  </si>
  <si>
    <t>Name</t>
  </si>
  <si>
    <t>Data</t>
  </si>
  <si>
    <t>QR Version / Length Checklist</t>
  </si>
  <si>
    <t>Format Indicator</t>
  </si>
  <si>
    <t>Format (Version)</t>
  </si>
  <si>
    <t>Merchant Account Info</t>
  </si>
  <si>
    <t>Merchant Global ID</t>
  </si>
  <si>
    <t>Proxy Type</t>
  </si>
  <si>
    <t>Proxy Value</t>
  </si>
  <si>
    <t>Amount Editable</t>
  </si>
  <si>
    <t>Expiry Date</t>
  </si>
  <si>
    <t>Merchant Reference</t>
  </si>
  <si>
    <t>VAR</t>
  </si>
  <si>
    <t>02</t>
  </si>
  <si>
    <t>Visa</t>
  </si>
  <si>
    <t>03</t>
  </si>
  <si>
    <t>05</t>
  </si>
  <si>
    <t>04</t>
  </si>
  <si>
    <t>06</t>
  </si>
  <si>
    <t>07</t>
  </si>
  <si>
    <t>08</t>
  </si>
  <si>
    <t>09</t>
  </si>
  <si>
    <t>26/00</t>
  </si>
  <si>
    <t>26/01</t>
  </si>
  <si>
    <t>26/02</t>
  </si>
  <si>
    <t>26/03</t>
  </si>
  <si>
    <t>26/04</t>
  </si>
  <si>
    <t>26/05</t>
  </si>
  <si>
    <t>..</t>
  </si>
  <si>
    <t>MCC</t>
  </si>
  <si>
    <t>Transaction Currency</t>
  </si>
  <si>
    <t>Transaction Amount</t>
  </si>
  <si>
    <t>Tip/Convenience Indicator</t>
  </si>
  <si>
    <t>Tip/Convenience Value</t>
  </si>
  <si>
    <t>Tip/Convenience Value Percentage</t>
  </si>
  <si>
    <t>Country Code</t>
  </si>
  <si>
    <t>Merchant Name</t>
  </si>
  <si>
    <t>Merchant City</t>
  </si>
  <si>
    <t>Postal Code</t>
  </si>
  <si>
    <t>Additional Data</t>
  </si>
  <si>
    <t>62/01</t>
  </si>
  <si>
    <t>Bill Number</t>
  </si>
  <si>
    <t>62/02</t>
  </si>
  <si>
    <t>Mobile Number</t>
  </si>
  <si>
    <t>62/03</t>
  </si>
  <si>
    <t>Store Label</t>
  </si>
  <si>
    <t>62/04</t>
  </si>
  <si>
    <t>Loyalty Number</t>
  </si>
  <si>
    <t>62/05</t>
  </si>
  <si>
    <t>Reference Number</t>
  </si>
  <si>
    <t>62/06</t>
  </si>
  <si>
    <t>Custoner Label</t>
  </si>
  <si>
    <t>62/07</t>
  </si>
  <si>
    <t>Terminal Label</t>
  </si>
  <si>
    <t>62/08</t>
  </si>
  <si>
    <t>Purpose of Transaction</t>
  </si>
  <si>
    <t>62/09</t>
  </si>
  <si>
    <t>Additional Consumer Data Request</t>
  </si>
  <si>
    <t>62/10</t>
  </si>
  <si>
    <t>62/49</t>
  </si>
  <si>
    <t>62/50</t>
  </si>
  <si>
    <t>Payment System Specific</t>
  </si>
  <si>
    <t>62/99</t>
  </si>
  <si>
    <t>Length: 3,
Value: ***
if require prompting</t>
  </si>
  <si>
    <t>A = Address of consumer
M = Mobile Number of consumer
E = Email address of consumer</t>
  </si>
  <si>
    <t>CRC Checksum</t>
  </si>
  <si>
    <t>Merchant Information</t>
  </si>
  <si>
    <t>64/00</t>
  </si>
  <si>
    <t>Language Preference</t>
  </si>
  <si>
    <t>64/01</t>
  </si>
  <si>
    <t>Merchant Name - Alternate Language</t>
  </si>
  <si>
    <t>64/02</t>
  </si>
  <si>
    <t>Merchant City - Alternate Language</t>
  </si>
  <si>
    <t>64/03</t>
  </si>
  <si>
    <t>Reserved for EMVco</t>
  </si>
  <si>
    <t>64/99</t>
  </si>
  <si>
    <t>Unreserved</t>
  </si>
  <si>
    <t>Static / Dynamic</t>
  </si>
  <si>
    <t>Initiation Method</t>
  </si>
  <si>
    <t>Notes</t>
  </si>
  <si>
    <t>Max Length</t>
  </si>
  <si>
    <t>Additional ID</t>
  </si>
  <si>
    <t>Currency Code</t>
  </si>
  <si>
    <t>Amount</t>
  </si>
  <si>
    <t>62/00</t>
  </si>
  <si>
    <t>Globally Unique Identifier</t>
  </si>
  <si>
    <t>Calculated CRC (63):</t>
  </si>
  <si>
    <t>Data Objects Legend</t>
  </si>
  <si>
    <t>QR Version:</t>
  </si>
  <si>
    <t>Android</t>
  </si>
  <si>
    <t>iOS</t>
  </si>
  <si>
    <t>CFS_MB_SG_SCANANDPAY_UAT</t>
  </si>
  <si>
    <t>Name:</t>
  </si>
  <si>
    <t>Android:</t>
  </si>
  <si>
    <t>iOS:</t>
  </si>
  <si>
    <t>Polynomial (hex):</t>
  </si>
  <si>
    <t>Initial Value:</t>
  </si>
  <si>
    <t>FFFF</t>
  </si>
  <si>
    <t>Init Method (11=Static,12=Dynamic)</t>
  </si>
  <si>
    <t>&amp;h0000</t>
  </si>
  <si>
    <t>&amp;h1021</t>
  </si>
  <si>
    <t>&amp;h2042</t>
  </si>
  <si>
    <t>&amp;h3063</t>
  </si>
  <si>
    <t>&amp;h4084</t>
  </si>
  <si>
    <t>&amp;h50A5</t>
  </si>
  <si>
    <t>&amp;h60C6</t>
  </si>
  <si>
    <t>&amp;h70E7</t>
  </si>
  <si>
    <t>&amp;h8108</t>
  </si>
  <si>
    <t>&amp;h9129</t>
  </si>
  <si>
    <t>&amp;hA14A</t>
  </si>
  <si>
    <t>&amp;hB16B</t>
  </si>
  <si>
    <t>&amp;hC18C</t>
  </si>
  <si>
    <t>&amp;hD1AD</t>
  </si>
  <si>
    <t>&amp;hE1CE</t>
  </si>
  <si>
    <t>&amp;hF1EF</t>
  </si>
  <si>
    <t>&amp;h1231</t>
  </si>
  <si>
    <t>&amp;h0210</t>
  </si>
  <si>
    <t>&amp;h3273</t>
  </si>
  <si>
    <t>&amp;h2252</t>
  </si>
  <si>
    <t>&amp;h52B5</t>
  </si>
  <si>
    <t>&amp;h4294</t>
  </si>
  <si>
    <t>&amp;h72F7</t>
  </si>
  <si>
    <t>&amp;h62D6</t>
  </si>
  <si>
    <t>&amp;h9339</t>
  </si>
  <si>
    <t>&amp;h8318</t>
  </si>
  <si>
    <t>&amp;hB37B</t>
  </si>
  <si>
    <t>&amp;hA35A</t>
  </si>
  <si>
    <t>&amp;hD3BD</t>
  </si>
  <si>
    <t>&amp;hC39C</t>
  </si>
  <si>
    <t>&amp;hF3FF</t>
  </si>
  <si>
    <t>&amp;hE3DE</t>
  </si>
  <si>
    <t>&amp;h2462</t>
  </si>
  <si>
    <t>&amp;h3443</t>
  </si>
  <si>
    <t>&amp;h0420</t>
  </si>
  <si>
    <t>&amp;h1401</t>
  </si>
  <si>
    <t>&amp;h64E6</t>
  </si>
  <si>
    <t>&amp;h74C7</t>
  </si>
  <si>
    <t>&amp;h44A4</t>
  </si>
  <si>
    <t>&amp;h5485</t>
  </si>
  <si>
    <t>&amp;hA56A</t>
  </si>
  <si>
    <t>&amp;hB54B</t>
  </si>
  <si>
    <t>&amp;h8528</t>
  </si>
  <si>
    <t>&amp;h9509</t>
  </si>
  <si>
    <t>&amp;hE5EE</t>
  </si>
  <si>
    <t>&amp;hF5CF</t>
  </si>
  <si>
    <t>&amp;hC5AC</t>
  </si>
  <si>
    <t>&amp;hD58D</t>
  </si>
  <si>
    <t>&amp;h3653</t>
  </si>
  <si>
    <t>&amp;h2672</t>
  </si>
  <si>
    <t>&amp;h1611</t>
  </si>
  <si>
    <t>&amp;h0630</t>
  </si>
  <si>
    <t>&amp;h76D7</t>
  </si>
  <si>
    <t>&amp;h66F6</t>
  </si>
  <si>
    <t>&amp;h5695</t>
  </si>
  <si>
    <t>&amp;h46B4</t>
  </si>
  <si>
    <t>&amp;hB75B</t>
  </si>
  <si>
    <t>&amp;hA77A</t>
  </si>
  <si>
    <t>&amp;h9719</t>
  </si>
  <si>
    <t>&amp;h8738</t>
  </si>
  <si>
    <t>&amp;hF7DF</t>
  </si>
  <si>
    <t>&amp;hE7FE</t>
  </si>
  <si>
    <t>&amp;hD79D</t>
  </si>
  <si>
    <t>&amp;hC7BC</t>
  </si>
  <si>
    <t>&amp;h48C4</t>
  </si>
  <si>
    <t>&amp;h58E5</t>
  </si>
  <si>
    <t>&amp;h6886</t>
  </si>
  <si>
    <t>&amp;h78A7</t>
  </si>
  <si>
    <t>&amp;h0840</t>
  </si>
  <si>
    <t>&amp;h1861</t>
  </si>
  <si>
    <t>&amp;h2802</t>
  </si>
  <si>
    <t>&amp;h3823</t>
  </si>
  <si>
    <t>&amp;hC9CC</t>
  </si>
  <si>
    <t>&amp;hD9ED</t>
  </si>
  <si>
    <t>&amp;hE98E</t>
  </si>
  <si>
    <t>&amp;hF9AF</t>
  </si>
  <si>
    <t>&amp;h8948</t>
  </si>
  <si>
    <t>&amp;h9969</t>
  </si>
  <si>
    <t>&amp;hA90A</t>
  </si>
  <si>
    <t>&amp;hB92B</t>
  </si>
  <si>
    <t>&amp;h5AF5</t>
  </si>
  <si>
    <t>&amp;h4AD4</t>
  </si>
  <si>
    <t>&amp;h7AB7</t>
  </si>
  <si>
    <t>&amp;h6A96</t>
  </si>
  <si>
    <t>&amp;h1A71</t>
  </si>
  <si>
    <t>&amp;h0A50</t>
  </si>
  <si>
    <t>&amp;h3A33</t>
  </si>
  <si>
    <t>&amp;h2A12</t>
  </si>
  <si>
    <t>&amp;hDBFD</t>
  </si>
  <si>
    <t>&amp;hCBDC</t>
  </si>
  <si>
    <t>&amp;hFBBF</t>
  </si>
  <si>
    <t>&amp;hEB9E</t>
  </si>
  <si>
    <t>&amp;h9B79</t>
  </si>
  <si>
    <t>&amp;h8B58</t>
  </si>
  <si>
    <t>&amp;hBB3B</t>
  </si>
  <si>
    <t>&amp;hAB1A</t>
  </si>
  <si>
    <t>&amp;h6CA6</t>
  </si>
  <si>
    <t>&amp;h7C87</t>
  </si>
  <si>
    <t>&amp;h4CE4</t>
  </si>
  <si>
    <t>&amp;h5CC5</t>
  </si>
  <si>
    <t>&amp;h2C22</t>
  </si>
  <si>
    <t>&amp;h3C03</t>
  </si>
  <si>
    <t>&amp;h0C60</t>
  </si>
  <si>
    <t>&amp;h1C41</t>
  </si>
  <si>
    <t>&amp;hEDAE</t>
  </si>
  <si>
    <t>&amp;hFD8F</t>
  </si>
  <si>
    <t>&amp;hCDEC</t>
  </si>
  <si>
    <t>&amp;hDDCD</t>
  </si>
  <si>
    <t>&amp;hAD2A</t>
  </si>
  <si>
    <t>&amp;hBD0B</t>
  </si>
  <si>
    <t>&amp;h8D68</t>
  </si>
  <si>
    <t>&amp;h9D49</t>
  </si>
  <si>
    <t>&amp;h7E97</t>
  </si>
  <si>
    <t>&amp;h6EB6</t>
  </si>
  <si>
    <t>&amp;h5ED5</t>
  </si>
  <si>
    <t>&amp;h4EF4</t>
  </si>
  <si>
    <t>&amp;h3E13</t>
  </si>
  <si>
    <t>&amp;h2E32</t>
  </si>
  <si>
    <t>&amp;h1E51</t>
  </si>
  <si>
    <t>&amp;h0E70</t>
  </si>
  <si>
    <t>&amp;hFF9F</t>
  </si>
  <si>
    <t>&amp;hEFBE</t>
  </si>
  <si>
    <t>&amp;hDFDD</t>
  </si>
  <si>
    <t>&amp;hCFFC</t>
  </si>
  <si>
    <t>&amp;hBF1B</t>
  </si>
  <si>
    <t>&amp;hAF3A</t>
  </si>
  <si>
    <t>&amp;h9F59</t>
  </si>
  <si>
    <t>&amp;h8F78</t>
  </si>
  <si>
    <t>&amp;h9188</t>
  </si>
  <si>
    <t>&amp;h81A9</t>
  </si>
  <si>
    <t>&amp;hB1CA</t>
  </si>
  <si>
    <t>&amp;hA1EB</t>
  </si>
  <si>
    <t>&amp;hD10C</t>
  </si>
  <si>
    <t>&amp;hC12D</t>
  </si>
  <si>
    <t>&amp;hF14E</t>
  </si>
  <si>
    <t>&amp;hE16F</t>
  </si>
  <si>
    <t>&amp;h1080</t>
  </si>
  <si>
    <t>&amp;h00A1</t>
  </si>
  <si>
    <t>&amp;h30C2</t>
  </si>
  <si>
    <t>&amp;h20E3</t>
  </si>
  <si>
    <t>&amp;h5004</t>
  </si>
  <si>
    <t>&amp;h4025</t>
  </si>
  <si>
    <t>&amp;h7046</t>
  </si>
  <si>
    <t>&amp;h6067</t>
  </si>
  <si>
    <t>&amp;h83B9</t>
  </si>
  <si>
    <t>&amp;h9398</t>
  </si>
  <si>
    <t>&amp;hA3FB</t>
  </si>
  <si>
    <t>&amp;hB3DA</t>
  </si>
  <si>
    <t>&amp;hC33D</t>
  </si>
  <si>
    <t>&amp;hD31C</t>
  </si>
  <si>
    <t>&amp;hE37F</t>
  </si>
  <si>
    <t>&amp;hF35E</t>
  </si>
  <si>
    <t>&amp;h02B1</t>
  </si>
  <si>
    <t>&amp;h1290</t>
  </si>
  <si>
    <t>&amp;h22F3</t>
  </si>
  <si>
    <t>&amp;h32D2</t>
  </si>
  <si>
    <t>&amp;h4235</t>
  </si>
  <si>
    <t>&amp;h5214</t>
  </si>
  <si>
    <t>&amp;h6277</t>
  </si>
  <si>
    <t>&amp;h7256</t>
  </si>
  <si>
    <t>&amp;hB5EA</t>
  </si>
  <si>
    <t>&amp;hA5CB</t>
  </si>
  <si>
    <t>&amp;h95A8</t>
  </si>
  <si>
    <t>&amp;h8589</t>
  </si>
  <si>
    <t>&amp;hF56E</t>
  </si>
  <si>
    <t>&amp;hE54F</t>
  </si>
  <si>
    <t>&amp;hD52C</t>
  </si>
  <si>
    <t>&amp;hC50D</t>
  </si>
  <si>
    <t>&amp;h34E2</t>
  </si>
  <si>
    <t>&amp;h24C3</t>
  </si>
  <si>
    <t>&amp;h14A0</t>
  </si>
  <si>
    <t>&amp;h0481</t>
  </si>
  <si>
    <t>&amp;h7466</t>
  </si>
  <si>
    <t>&amp;h6447</t>
  </si>
  <si>
    <t>&amp;h5424</t>
  </si>
  <si>
    <t>&amp;h4405</t>
  </si>
  <si>
    <t>&amp;hA7DB</t>
  </si>
  <si>
    <t>&amp;hB7FA</t>
  </si>
  <si>
    <t>&amp;h8799</t>
  </si>
  <si>
    <t>&amp;h97B8</t>
  </si>
  <si>
    <t>&amp;hE75F</t>
  </si>
  <si>
    <t>&amp;hF77E</t>
  </si>
  <si>
    <t>&amp;hC71D</t>
  </si>
  <si>
    <t>&amp;hD73C</t>
  </si>
  <si>
    <t>&amp;h26D3</t>
  </si>
  <si>
    <t>&amp;h36F2</t>
  </si>
  <si>
    <t>&amp;h0691</t>
  </si>
  <si>
    <t>&amp;h16B0</t>
  </si>
  <si>
    <t>&amp;h6657</t>
  </si>
  <si>
    <t>&amp;h7676</t>
  </si>
  <si>
    <t>&amp;h4615</t>
  </si>
  <si>
    <t>&amp;h5634</t>
  </si>
  <si>
    <t>&amp;hD94C</t>
  </si>
  <si>
    <t>&amp;hC96D</t>
  </si>
  <si>
    <t>&amp;hF90E</t>
  </si>
  <si>
    <t>&amp;hE92F</t>
  </si>
  <si>
    <t>&amp;h99C8</t>
  </si>
  <si>
    <t>&amp;h89E9</t>
  </si>
  <si>
    <t>&amp;hB98A</t>
  </si>
  <si>
    <t>&amp;hA9AB</t>
  </si>
  <si>
    <t>&amp;h5844</t>
  </si>
  <si>
    <t>&amp;h4865</t>
  </si>
  <si>
    <t>&amp;h7806</t>
  </si>
  <si>
    <t>&amp;h6827</t>
  </si>
  <si>
    <t>&amp;h18C0</t>
  </si>
  <si>
    <t>&amp;h08E1</t>
  </si>
  <si>
    <t>&amp;h3882</t>
  </si>
  <si>
    <t>&amp;h28A3</t>
  </si>
  <si>
    <t>&amp;hCB7D</t>
  </si>
  <si>
    <t>&amp;hDB5C</t>
  </si>
  <si>
    <t>&amp;hEB3F</t>
  </si>
  <si>
    <t>&amp;hFB1E</t>
  </si>
  <si>
    <t>&amp;h8BF9</t>
  </si>
  <si>
    <t>&amp;h9BD8</t>
  </si>
  <si>
    <t>&amp;hABBB</t>
  </si>
  <si>
    <t>&amp;hBB9A</t>
  </si>
  <si>
    <t>&amp;h4A75</t>
  </si>
  <si>
    <t>&amp;h5A54</t>
  </si>
  <si>
    <t>&amp;h6A37</t>
  </si>
  <si>
    <t>&amp;h7A16</t>
  </si>
  <si>
    <t>&amp;h0AF1</t>
  </si>
  <si>
    <t>&amp;h1AD0</t>
  </si>
  <si>
    <t>&amp;h2AB3</t>
  </si>
  <si>
    <t>&amp;h3A92</t>
  </si>
  <si>
    <t>&amp;hFD2E</t>
  </si>
  <si>
    <t>&amp;hED0F</t>
  </si>
  <si>
    <t>&amp;hDD6C</t>
  </si>
  <si>
    <t>&amp;hCD4D</t>
  </si>
  <si>
    <t>&amp;hBDAA</t>
  </si>
  <si>
    <t>&amp;hAD8B</t>
  </si>
  <si>
    <t>&amp;h9DE8</t>
  </si>
  <si>
    <t>&amp;h8DC9</t>
  </si>
  <si>
    <t>&amp;h7C26</t>
  </si>
  <si>
    <t>&amp;h6C07</t>
  </si>
  <si>
    <t>&amp;h5C64</t>
  </si>
  <si>
    <t>&amp;h4C45</t>
  </si>
  <si>
    <t>&amp;h3CA2</t>
  </si>
  <si>
    <t>&amp;h2C83</t>
  </si>
  <si>
    <t>&amp;h1CE0</t>
  </si>
  <si>
    <t>&amp;h0CC1</t>
  </si>
  <si>
    <t>&amp;hEF1F</t>
  </si>
  <si>
    <t>&amp;hFF3E</t>
  </si>
  <si>
    <t>&amp;hCF5D</t>
  </si>
  <si>
    <t>&amp;hDF7C</t>
  </si>
  <si>
    <t>&amp;hAF9B</t>
  </si>
  <si>
    <t>&amp;hBFBA</t>
  </si>
  <si>
    <t>&amp;h8FD9</t>
  </si>
  <si>
    <t>&amp;h9FF8</t>
  </si>
  <si>
    <t>&amp;h6E17</t>
  </si>
  <si>
    <t>&amp;h7E36</t>
  </si>
  <si>
    <t>&amp;h4E55</t>
  </si>
  <si>
    <t>&amp;h5E74</t>
  </si>
  <si>
    <t>&amp;h2E93</t>
  </si>
  <si>
    <t>&amp;h3EB2</t>
  </si>
  <si>
    <t>&amp;h0ED1</t>
  </si>
  <si>
    <t>&amp;h1EF0</t>
  </si>
  <si>
    <t>HEX:</t>
  </si>
  <si>
    <t>Input Data</t>
  </si>
  <si>
    <t>SG.PAYNOW</t>
  </si>
  <si>
    <t>702</t>
  </si>
  <si>
    <t>SG</t>
  </si>
  <si>
    <t>QR Generator</t>
  </si>
  <si>
    <t>SINGAPORE</t>
  </si>
  <si>
    <t>OUTPUT QR STRING:</t>
  </si>
  <si>
    <t>Typical Values</t>
  </si>
  <si>
    <t>Explaination</t>
  </si>
  <si>
    <t>0=MSISDN, 2=UEN, 3=VPA</t>
  </si>
  <si>
    <t>01=Normal, 02=New</t>
  </si>
  <si>
    <t>11=Static, 12=Dynamic</t>
  </si>
  <si>
    <t>0=Not Editable, 1=Editable</t>
  </si>
  <si>
    <t>yyyyMMdd or yyyyMMddHHmmss</t>
  </si>
  <si>
    <t>Merchant Reference Number</t>
  </si>
  <si>
    <t>Merchant Category Code</t>
  </si>
  <si>
    <t>MCC (Merchant Category Code)</t>
  </si>
  <si>
    <t>Currency Code (702=SGD)</t>
  </si>
  <si>
    <t>Amount of money requested (9.3)</t>
  </si>
  <si>
    <t>Merchant Postal Code</t>
  </si>
  <si>
    <t>Calculations for 62</t>
  </si>
  <si>
    <t>Typical reference position</t>
  </si>
  <si>
    <t>Required</t>
  </si>
  <si>
    <t>Y</t>
  </si>
  <si>
    <t>N</t>
  </si>
  <si>
    <t>Generate QR at DrawTab</t>
  </si>
  <si>
    <t>Character count:</t>
  </si>
  <si>
    <t>Derived QR Version (H):</t>
  </si>
  <si>
    <t>Verify QR at DrawTab</t>
  </si>
  <si>
    <t/>
  </si>
  <si>
    <t>Capital letters of any combination: A/M/E</t>
  </si>
  <si>
    <t>Country Code in caps (SG)</t>
  </si>
  <si>
    <t>Merchant City in caps</t>
  </si>
  <si>
    <t>Calculations (Dont edit)</t>
  </si>
  <si>
    <t>Pre CRC:</t>
  </si>
  <si>
    <t>Pre-CRC:</t>
  </si>
  <si>
    <t>Array Data:</t>
  </si>
  <si>
    <t>Array Data (Don’t edit):</t>
  </si>
  <si>
    <t>Validity of QR string:</t>
  </si>
  <si>
    <t>Acquired CRC:</t>
  </si>
  <si>
    <t>Expected:</t>
  </si>
  <si>
    <t>v1</t>
  </si>
  <si>
    <t>Visa Merchant Info</t>
  </si>
  <si>
    <t>Mastercard Merchant Info</t>
  </si>
  <si>
    <t>4036180000000020</t>
  </si>
  <si>
    <t>222720000000002</t>
  </si>
  <si>
    <t>NETS Amount Editable</t>
  </si>
  <si>
    <t>SG.COM.NETS</t>
  </si>
  <si>
    <t>11136001300</t>
  </si>
  <si>
    <t>36001301</t>
  </si>
  <si>
    <t>NETS</t>
  </si>
  <si>
    <t>NETS Global ID</t>
  </si>
  <si>
    <t>PAYNOW Global ID</t>
  </si>
  <si>
    <t>?</t>
  </si>
  <si>
    <t>PAYNOW Proxy Type</t>
  </si>
  <si>
    <t>PAYNOW Proxy Value</t>
  </si>
  <si>
    <t>PAYNOW Amount Editable</t>
  </si>
  <si>
    <t>PAYNOW Expiry Date</t>
  </si>
  <si>
    <t>PAYNOW Merchant Reference</t>
  </si>
  <si>
    <t>PAYNOW</t>
  </si>
  <si>
    <t>VISA</t>
  </si>
  <si>
    <t>MASTERCARD</t>
  </si>
  <si>
    <t>A33A0B61</t>
  </si>
  <si>
    <t>100.00</t>
  </si>
  <si>
    <t>NETS Merchant ID</t>
  </si>
  <si>
    <t>NETS Proxy Value</t>
  </si>
  <si>
    <t>You can save the QR as a PNG:</t>
  </si>
  <si>
    <t>Left click first, then right click on the QR and "save as picture"</t>
  </si>
  <si>
    <t>00020101021133860011SG.COM.NETS012310123456789321231235959021111136001300030836001301090109908FCEC4BAA51161234567890ABCDEF520400005303702540512.345802SG5924INTERNAL TESTING MSS JUN6009SINGAPORE6106888333621601121A2B3C4D5E6F63042a79</t>
  </si>
  <si>
    <t>SGQR</t>
  </si>
  <si>
    <t>NETSqpay0060123456789311220320011111360013000124INTERNAL TESTING MSS JUN02083600130103080000123407121A2B3C4D5E6F090106DB36A77ED4F2355BA4DEE47E82BC72CB2EE817B4C50BDCC880B4B9C62CB92B4</t>
  </si>
  <si>
    <t>+ uneditable amount
+ reference</t>
  </si>
  <si>
    <t>SAMPLE QR STRINGS</t>
  </si>
  <si>
    <t>00020101021126400009SG.PAYNOW0101202130200062202OC10301152040000530370254048.955802SG5916Salt and Delight6009SINGAPORE62160112TESTING04CAS63045ED0</t>
  </si>
  <si>
    <t>PAYNOW
UEN</t>
  </si>
  <si>
    <t>00020101021126380009SG.PAYNOW010100211+6582014380030105303702540510.235802SG5912QR Generator6009SINGAPORE62080104test6304F45F</t>
  </si>
  <si>
    <t>PAYNOW
MOBILE</t>
  </si>
  <si>
    <t>NETSQR</t>
  </si>
  <si>
    <t>PASTE INPUT QR STRING:</t>
  </si>
  <si>
    <t>NETSqpay</t>
  </si>
  <si>
    <t>Not supported yet</t>
  </si>
  <si>
    <t>ID 62: *** (3 asterix) if require input from user - DOES NOT APPLY TO PAYNOW</t>
  </si>
  <si>
    <t>v1.5</t>
  </si>
  <si>
    <t>Initial Release</t>
  </si>
  <si>
    <t>Added SGQR (NETS) / VISA / MASTERCARD information</t>
  </si>
  <si>
    <t>Count (Don't edit)</t>
  </si>
  <si>
    <t>v1.6</t>
  </si>
  <si>
    <t>Fixed a VB bug, changed the way buttons respond to clicks, reduced QR complexity</t>
  </si>
  <si>
    <t>Fixed a calculation error</t>
  </si>
  <si>
    <t>***</t>
  </si>
  <si>
    <t>+6582014380#GRAB</t>
  </si>
  <si>
    <t>v1.7</t>
  </si>
  <si>
    <t>PayNow / SGQR</t>
  </si>
  <si>
    <t>Merchant Tax ID</t>
  </si>
  <si>
    <t>Merchant Channel</t>
  </si>
  <si>
    <t>Merchant Name - Alternate</t>
  </si>
  <si>
    <t>Merchant City - Alternate</t>
  </si>
  <si>
    <t>visa/mc has '12' dynamic</t>
  </si>
  <si>
    <t>4600678934521430</t>
  </si>
  <si>
    <t>visa</t>
  </si>
  <si>
    <t>4600678934521467</t>
  </si>
  <si>
    <t>555544443333222</t>
  </si>
  <si>
    <t>555544443333111</t>
  </si>
  <si>
    <t>5600678934521435</t>
  </si>
  <si>
    <t>5600678934521439</t>
  </si>
  <si>
    <t>mastercard</t>
  </si>
  <si>
    <t>mcc</t>
  </si>
  <si>
    <t>1434</t>
  </si>
  <si>
    <t>curr</t>
  </si>
  <si>
    <t>156</t>
  </si>
  <si>
    <t>6800678934521565</t>
  </si>
  <si>
    <t>6800678934521575</t>
  </si>
  <si>
    <t>6800678934521555</t>
  </si>
  <si>
    <t>3200678934521434</t>
  </si>
  <si>
    <t>3400678934521469</t>
  </si>
  <si>
    <t>5700678934521457</t>
  </si>
  <si>
    <t>5700678934521435</t>
  </si>
  <si>
    <t>4800678934524535</t>
  </si>
  <si>
    <t>4850678934521598</t>
  </si>
  <si>
    <t>4657678934521449</t>
  </si>
  <si>
    <t>PNS93484jf</t>
  </si>
  <si>
    <t>AID0349509H</t>
  </si>
  <si>
    <t>01 static</t>
  </si>
  <si>
    <t>01 dyn</t>
  </si>
  <si>
    <t>PNSDyn8494738</t>
  </si>
  <si>
    <t>62 03</t>
  </si>
  <si>
    <t>A6008</t>
  </si>
  <si>
    <t>62 04</t>
  </si>
  <si>
    <t>62 07</t>
  </si>
  <si>
    <t>A6008667</t>
  </si>
  <si>
    <t>62 09</t>
  </si>
  <si>
    <t>ME</t>
  </si>
  <si>
    <t>50</t>
  </si>
  <si>
    <t>GUI123</t>
  </si>
  <si>
    <t>CONT</t>
  </si>
  <si>
    <t>50 01 static</t>
  </si>
  <si>
    <t>50 01 dyn</t>
  </si>
  <si>
    <t>DYN6</t>
  </si>
  <si>
    <t>51</t>
  </si>
  <si>
    <t>GUI2</t>
  </si>
  <si>
    <t>51 01 static</t>
  </si>
  <si>
    <t>CON</t>
  </si>
  <si>
    <t>51 01 dyn</t>
  </si>
  <si>
    <t>DYN22</t>
  </si>
  <si>
    <t>64 00</t>
  </si>
  <si>
    <t>ZH</t>
  </si>
  <si>
    <t>88</t>
  </si>
  <si>
    <t>GUI12319494</t>
  </si>
  <si>
    <t>88 01 static</t>
  </si>
  <si>
    <t>CONT7586F</t>
  </si>
  <si>
    <t>88 01 dyn</t>
  </si>
  <si>
    <t>DYN647382</t>
  </si>
  <si>
    <t>DASH</t>
  </si>
  <si>
    <t>#GRAB</t>
  </si>
  <si>
    <t>#DASH</t>
  </si>
  <si>
    <t>#XNAP</t>
  </si>
  <si>
    <t>52 04</t>
  </si>
  <si>
    <t>0000</t>
  </si>
  <si>
    <t>SG.SGQR</t>
  </si>
  <si>
    <t>51 00</t>
  </si>
  <si>
    <t>51 01</t>
  </si>
  <si>
    <t>YYMMDD</t>
  </si>
  <si>
    <t>NNNNNN</t>
  </si>
  <si>
    <t>Unique hexadecimal number for that date</t>
  </si>
  <si>
    <t>51 02</t>
  </si>
  <si>
    <t>AA.NNNN</t>
  </si>
  <si>
    <t>NNNN: version of qr</t>
  </si>
  <si>
    <t>AA: major version or SGQR spec</t>
  </si>
  <si>
    <t>51 03</t>
  </si>
  <si>
    <t>postal code</t>
  </si>
  <si>
    <t>51 04</t>
  </si>
  <si>
    <t>level number</t>
  </si>
  <si>
    <t>51 05</t>
  </si>
  <si>
    <t>unit number</t>
  </si>
  <si>
    <t>51 06</t>
  </si>
  <si>
    <t>51 07</t>
  </si>
  <si>
    <t>YYYYMMDD</t>
  </si>
  <si>
    <t>misc</t>
  </si>
  <si>
    <t>includes terminal ID</t>
  </si>
  <si>
    <t>Date of revised QR generation</t>
  </si>
  <si>
    <t>unsure of date format</t>
  </si>
  <si>
    <t>SGQR can include:</t>
  </si>
  <si>
    <t>LiquidPay</t>
  </si>
  <si>
    <t>GrabPay</t>
  </si>
  <si>
    <t>Singtel Dash</t>
  </si>
  <si>
    <t>VISA ID</t>
  </si>
  <si>
    <t>MASTERCARD ID</t>
  </si>
  <si>
    <t>AMEX/UPI</t>
  </si>
  <si>
    <t>SG.COM.DASH.WWWW</t>
  </si>
  <si>
    <t>COM.LQDPALLIANCE.WWW</t>
  </si>
  <si>
    <t>Reverse URL</t>
  </si>
  <si>
    <t>Payee ID</t>
  </si>
  <si>
    <t>Service code</t>
  </si>
  <si>
    <t>merchant ID: 2633</t>
  </si>
  <si>
    <t>merchant ID: 2767</t>
  </si>
  <si>
    <t>000201</t>
  </si>
  <si>
    <t>010211</t>
  </si>
  <si>
    <t>SG.COM.OCBC</t>
  </si>
  <si>
    <t>COM.GRAB</t>
  </si>
  <si>
    <t>COM.DBS</t>
  </si>
  <si>
    <t>NETS QR Metadata</t>
  </si>
  <si>
    <t>NETS Terminal ID</t>
  </si>
  <si>
    <t>NETS Signature</t>
  </si>
  <si>
    <t>00020101021102164761360000000*1704155123456789123451110123456789012153123456789012341531250003440001034450003445311000126330015SG.COM.DASH.WWW0110000005550127670014A00000076200010120COM.LQDPALLIANCE.WWW021512345678901234503020028660011SG.COM.OCBC0147OCBCP2P629A358D-ECE7-4554-AD56-EBD12D84CA7E4F7329500006SG.EZI013603600006-76bb-4a5a-aa1afbcb64d6ecf530850013SG.COM.EZLINK01201234567890123456-1230204SGQR0324A123456,B123456,C12345670404A23X31260008COM.GRAB0110A93FO3230Q32390007COM.DBS011012345678900210123456789033900011SG.COM.NETS01230201401832831128823590002150001118703240000308885872010901199084E5DC3D834430017COM.QQ.WEIXIN.PAY011012345678900204123435660010SG.COM.UOB014845D233507F5E8C306E3871A4E9FACA601A80C114B5645E5D36940009SG.PAYNOW010100216+6212345678901230301004351234567890123456789012345678901234505082020123137270009SG.AIRPAY0110A11BC0000X51860007SG.SGQR0112180307510317020701.0003030608100604020205031380609Counter010708201804075204581453037025802SG5916FOOD XYZ PTE LTD6009SINGAPORE6106081006622301081234567R060787654306304317F</t>
  </si>
  <si>
    <t>+ multiple accounts
+ needs work</t>
  </si>
  <si>
    <t>PAYNOW
VPA</t>
  </si>
  <si>
    <t>00020101021126430009SG.PAYNOW010130216+6582014380#GRAB030105303702540510.205802SG5916PAYNOW MOBILE QR6009SINGAPORE62080104test63045BB0</t>
  </si>
  <si>
    <t>26 02</t>
  </si>
  <si>
    <t>+&lt;countrycode&gt;&lt;mobile number&gt;#xxxx</t>
  </si>
  <si>
    <t>VPA list (as of Feb 2021)</t>
  </si>
  <si>
    <t>Customer Label</t>
  </si>
  <si>
    <t>SGQR Unique ID</t>
  </si>
  <si>
    <t>SGQR ID</t>
  </si>
  <si>
    <t>SQGR Version</t>
  </si>
  <si>
    <t>SGQR Postal Code</t>
  </si>
  <si>
    <t>SGQR Level Number</t>
  </si>
  <si>
    <t>SGQR Unit Number</t>
  </si>
  <si>
    <t>SGQR Misc</t>
  </si>
  <si>
    <t>SGQR New Version Date</t>
  </si>
  <si>
    <t>SGQR Identifier</t>
  </si>
  <si>
    <t>SGQR QR Version</t>
  </si>
  <si>
    <t>SGQR Merchant Postal Code</t>
  </si>
  <si>
    <t>SGQR Merchant Level Number</t>
  </si>
  <si>
    <t>SGQR Merchant Unit Number</t>
  </si>
  <si>
    <t>SGQR Misc (Terminal ID etc)</t>
  </si>
  <si>
    <t>01.0003</t>
  </si>
  <si>
    <t>081006</t>
  </si>
  <si>
    <t>Level 2 (02)</t>
  </si>
  <si>
    <t>Unit 138 (138)</t>
  </si>
  <si>
    <t>Counter01</t>
  </si>
  <si>
    <t>7 April 2018 (20180407)</t>
  </si>
  <si>
    <t>SGQR New Version Date (YYYYMMDD)</t>
  </si>
  <si>
    <t>SGQR ID Number (YYMMDDNNNNNN)</t>
  </si>
  <si>
    <t>180307 510317</t>
  </si>
  <si>
    <t>Not Detected in both</t>
  </si>
  <si>
    <t>Only Detected in PAO</t>
  </si>
  <si>
    <t>Partly Detected in PAO</t>
  </si>
  <si>
    <t>Detected in both</t>
  </si>
  <si>
    <t>NETS ID</t>
  </si>
  <si>
    <t>5814 or 0000</t>
  </si>
  <si>
    <t>Metadata: Version(1), Issuer(10), Expiry(12)</t>
  </si>
  <si>
    <t>1 0123456789 080988 235959</t>
  </si>
  <si>
    <t>Added PAYNOW VPA quick setting, added more SGQR modes</t>
  </si>
  <si>
    <t>0</t>
  </si>
  <si>
    <t>1</t>
  </si>
  <si>
    <t>10.20</t>
  </si>
  <si>
    <t>Netsqpay</t>
  </si>
  <si>
    <t>60</t>
  </si>
  <si>
    <t>00001234</t>
  </si>
  <si>
    <t>12</t>
  </si>
  <si>
    <t>1A2B3C4D5E6F</t>
  </si>
  <si>
    <t>Ref</t>
  </si>
  <si>
    <t>Editability</t>
  </si>
  <si>
    <t>6DB36A77ED4F2355BA4DEE47E82BC72CB2EE817B4C50BDCC880B4B9C62CB92B4</t>
  </si>
  <si>
    <t>24</t>
  </si>
  <si>
    <t>INTERNAL TESTING MSS JUN</t>
  </si>
  <si>
    <t>11</t>
  </si>
  <si>
    <t>name</t>
  </si>
  <si>
    <t>terminal ID</t>
  </si>
  <si>
    <t>merchant ID</t>
  </si>
  <si>
    <t>expiry</t>
  </si>
  <si>
    <t>123456789</t>
  </si>
  <si>
    <t>31122032</t>
  </si>
  <si>
    <t>31 dec 2032</t>
  </si>
  <si>
    <t>issuer</t>
  </si>
  <si>
    <t>16</t>
  </si>
  <si>
    <t>0000030000001000</t>
  </si>
  <si>
    <t>&gt; not part</t>
  </si>
  <si>
    <t>12.34</t>
  </si>
  <si>
    <t>0=no, 1=yes</t>
  </si>
  <si>
    <t>6E6BF54D2528C4D5444C5665C54111F46E847FBC4FF6C6A16A7571C8C3762840</t>
  </si>
  <si>
    <t>CD05618623A75A0ACA7D18CC719AFF60470E414BD7917C4F1FFA9C948C4CC875</t>
  </si>
  <si>
    <t>A2825B2C3144852050F7EFA7559360F6A9ABE51E1F0618AF98094DE22768D790</t>
  </si>
  <si>
    <t>Static when need to enter amount</t>
  </si>
  <si>
    <t>dynamic when don’t need enter amount</t>
  </si>
  <si>
    <t>payload + secret key</t>
  </si>
  <si>
    <t>eg secret key:</t>
  </si>
  <si>
    <t>21296dd3-5bf6-4dfc-b8a2-03fbcc213b7b</t>
  </si>
  <si>
    <t>8bc63cd3-2647-4a78-ac75-d5f534b56047</t>
  </si>
  <si>
    <t>key id?</t>
  </si>
  <si>
    <t>sha256 the bytes of the above (into hex)</t>
  </si>
  <si>
    <t>encode base64 the above (hex into binary, then base64)</t>
  </si>
  <si>
    <t>00020101021126380009SG.PAYNOW010100211+6582014380030115303702540510.205802SG5916PAYNOW MOBILE QR6009SINGAPORE63040B0F</t>
  </si>
  <si>
    <t>EMVco SGQR DECODER</t>
  </si>
  <si>
    <t>EMVco SGQR ENCODER</t>
  </si>
  <si>
    <t>v1.8</t>
  </si>
  <si>
    <t>00020101021126380009SG.PAYNOW010100211+6582014380030115303702540510.005802SG5912QR Generator6009SINGAPORE6106081006630469BF</t>
  </si>
  <si>
    <t>Fixed an expiry issue with NETS, made most variables easily editable from top of VB screen</t>
  </si>
  <si>
    <t>OCBC P2P</t>
  </si>
  <si>
    <t>Ezi-Wallet</t>
  </si>
  <si>
    <t>SG.EZI</t>
  </si>
  <si>
    <t>EZ-Link</t>
  </si>
  <si>
    <t>SG.COM.EZLINK</t>
  </si>
  <si>
    <t>DBS Paylah</t>
  </si>
  <si>
    <t>Wechat Pay</t>
  </si>
  <si>
    <t>COM.QQ.WEIXIN.PAY</t>
  </si>
  <si>
    <t>UOB</t>
  </si>
  <si>
    <t>SG.COM.UOB</t>
  </si>
  <si>
    <t>PayNow</t>
  </si>
  <si>
    <t>Airpay (SEA)</t>
  </si>
  <si>
    <t>SG.AIRPAY</t>
  </si>
  <si>
    <t>00020101021126380009SG.PAYNOW010100211+6582014380030115303702540510.005802SG5916QR PAYNOW MOBILE6009SINGAPORE610608100663048A6A</t>
  </si>
  <si>
    <t>8A6A</t>
  </si>
  <si>
    <t>5814</t>
  </si>
  <si>
    <t>2</t>
  </si>
  <si>
    <t>0200062202OC1</t>
  </si>
  <si>
    <t>PAYNOW UEN QR</t>
  </si>
  <si>
    <t>A8F2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</si>
</sst>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"/>
    <numFmt numFmtId="165" formatCode="[$-F800]dddd\,\ mmmm\ dd\,\ yyyy"/>
  </numFmts>
  <fonts count="20" x14ac:knownFonts="1"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rgb="FF7F7F7F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6"/>
      <name val="Calibri"/>
      <family val="2"/>
      <scheme val="minor"/>
    </font>
    <font>
      <sz val="11"/>
      <name val="Calibri"/>
      <family val="2"/>
      <scheme val="minor"/>
    </font>
    <font>
      <b/>
      <sz val="22"/>
      <color rgb="FFFF00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i/>
      <sz val="11"/>
      <color rgb="FF7F7F7F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172B4D"/>
      <name val="Segoe UI"/>
      <family val="2"/>
    </font>
    <font>
      <b/>
      <sz val="11"/>
      <color rgb="FFFA7D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FFEB9C"/>
      </patternFill>
    </fill>
  </fills>
  <borders count="33">
    <border>
      <left/>
      <right/>
      <top/>
      <bottom/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9" fillId="2" borderId="0" applyNumberFormat="0" applyBorder="0" applyAlignment="0" applyProtection="0"/>
    <xf numFmtId="0" fontId="10" fillId="3" borderId="0" applyNumberFormat="0" applyBorder="0" applyAlignment="0" applyProtection="0"/>
    <xf numFmtId="0" fontId="11" fillId="0" borderId="0" applyNumberFormat="0" applyFill="0" applyBorder="0" applyAlignment="0" applyProtection="0"/>
    <xf numFmtId="0" fontId="15" fillId="4" borderId="32" applyNumberFormat="0" applyAlignment="0" applyProtection="0"/>
    <xf numFmtId="0" fontId="17" fillId="5" borderId="0" applyNumberFormat="0" applyBorder="0" applyAlignment="0" applyProtection="0"/>
  </cellStyleXfs>
  <cellXfs count="160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49" fontId="0" fillId="0" borderId="0" xfId="0" applyNumberFormat="1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0" fillId="0" borderId="0" xfId="0" applyNumberFormat="1" applyAlignment="1">
      <alignment horizontal="center" vertical="center"/>
    </xf>
    <xf numFmtId="0" fontId="2" fillId="0" borderId="0" xfId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0" fillId="0" borderId="0" xfId="0" quotePrefix="1" applyNumberFormat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0" xfId="0" applyNumberForma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7" fillId="0" borderId="0" xfId="0" applyFont="1" applyBorder="1" applyAlignment="1">
      <alignment horizontal="left" vertical="center"/>
    </xf>
    <xf numFmtId="49" fontId="7" fillId="0" borderId="0" xfId="0" applyNumberFormat="1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0" xfId="0" applyNumberFormat="1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5" fillId="0" borderId="14" xfId="0" applyNumberFormat="1" applyFont="1" applyFill="1" applyBorder="1" applyAlignment="1">
      <alignment horizontal="center" vertical="center"/>
    </xf>
    <xf numFmtId="0" fontId="5" fillId="0" borderId="15" xfId="0" applyNumberFormat="1" applyFont="1" applyFill="1" applyBorder="1" applyAlignment="1">
      <alignment horizontal="center" vertical="center"/>
    </xf>
    <xf numFmtId="0" fontId="0" fillId="0" borderId="26" xfId="0" applyBorder="1" applyAlignment="1">
      <alignment vertical="center"/>
    </xf>
    <xf numFmtId="0" fontId="0" fillId="0" borderId="17" xfId="0" applyNumberFormat="1" applyBorder="1" applyAlignment="1">
      <alignment horizontal="center" vertical="center"/>
    </xf>
    <xf numFmtId="0" fontId="0" fillId="0" borderId="19" xfId="0" applyNumberFormat="1" applyFill="1" applyBorder="1" applyAlignment="1">
      <alignment horizontal="center" vertical="center"/>
    </xf>
    <xf numFmtId="0" fontId="0" fillId="0" borderId="20" xfId="0" applyBorder="1" applyAlignment="1">
      <alignment vertical="center"/>
    </xf>
    <xf numFmtId="0" fontId="0" fillId="0" borderId="19" xfId="0" applyNumberFormat="1" applyBorder="1" applyAlignment="1">
      <alignment horizontal="center" vertical="center"/>
    </xf>
    <xf numFmtId="0" fontId="0" fillId="0" borderId="20" xfId="0" applyBorder="1" applyAlignment="1">
      <alignment vertical="center" wrapText="1"/>
    </xf>
    <xf numFmtId="0" fontId="0" fillId="0" borderId="21" xfId="0" applyNumberFormat="1" applyBorder="1" applyAlignment="1">
      <alignment horizontal="center" vertical="center"/>
    </xf>
    <xf numFmtId="0" fontId="0" fillId="0" borderId="22" xfId="0" applyNumberFormat="1" applyBorder="1" applyAlignment="1">
      <alignment horizontal="center" vertical="center"/>
    </xf>
    <xf numFmtId="0" fontId="0" fillId="0" borderId="22" xfId="0" applyBorder="1" applyAlignment="1">
      <alignment horizontal="left" vertical="center"/>
    </xf>
    <xf numFmtId="0" fontId="0" fillId="0" borderId="27" xfId="0" applyBorder="1" applyAlignment="1">
      <alignment vertical="center"/>
    </xf>
    <xf numFmtId="0" fontId="5" fillId="0" borderId="15" xfId="0" applyFont="1" applyFill="1" applyBorder="1" applyAlignment="1">
      <alignment horizontal="center" vertical="center"/>
    </xf>
    <xf numFmtId="0" fontId="5" fillId="0" borderId="24" xfId="0" applyFont="1" applyBorder="1" applyAlignment="1">
      <alignment horizontal="right" vertical="center"/>
    </xf>
    <xf numFmtId="0" fontId="5" fillId="0" borderId="24" xfId="0" applyNumberFormat="1" applyFont="1" applyBorder="1" applyAlignment="1">
      <alignment horizontal="center" vertical="center"/>
    </xf>
    <xf numFmtId="0" fontId="5" fillId="0" borderId="13" xfId="0" applyFont="1" applyBorder="1" applyAlignment="1">
      <alignment horizontal="left" vertical="center"/>
    </xf>
    <xf numFmtId="0" fontId="5" fillId="0" borderId="0" xfId="0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1" fillId="0" borderId="0" xfId="1" applyAlignment="1">
      <alignment horizontal="center" vertical="center"/>
    </xf>
    <xf numFmtId="164" fontId="1" fillId="0" borderId="0" xfId="1" applyNumberFormat="1" applyAlignment="1">
      <alignment horizontal="center" vertical="center"/>
    </xf>
    <xf numFmtId="164" fontId="0" fillId="0" borderId="0" xfId="0" applyNumberFormat="1" applyAlignment="1">
      <alignment horizontal="left" vertical="center"/>
    </xf>
    <xf numFmtId="49" fontId="1" fillId="0" borderId="0" xfId="1" applyNumberFormat="1" applyAlignment="1">
      <alignment horizontal="center" vertical="center"/>
    </xf>
    <xf numFmtId="0" fontId="1" fillId="0" borderId="0" xfId="1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0" fontId="7" fillId="0" borderId="0" xfId="0" applyFont="1" applyAlignment="1">
      <alignment horizontal="left" vertical="center"/>
    </xf>
    <xf numFmtId="0" fontId="5" fillId="0" borderId="24" xfId="0" applyFont="1" applyBorder="1" applyAlignment="1">
      <alignment horizontal="center" vertical="center"/>
    </xf>
    <xf numFmtId="164" fontId="5" fillId="0" borderId="24" xfId="0" applyNumberFormat="1" applyFont="1" applyBorder="1" applyAlignment="1">
      <alignment horizontal="center" vertical="center"/>
    </xf>
    <xf numFmtId="164" fontId="5" fillId="0" borderId="24" xfId="0" applyNumberFormat="1" applyFont="1" applyBorder="1" applyAlignment="1">
      <alignment horizontal="center" vertical="center" wrapText="1"/>
    </xf>
    <xf numFmtId="49" fontId="5" fillId="0" borderId="24" xfId="0" applyNumberFormat="1" applyFont="1" applyBorder="1" applyAlignment="1">
      <alignment horizontal="center" vertical="center"/>
    </xf>
    <xf numFmtId="0" fontId="0" fillId="0" borderId="28" xfId="0" applyBorder="1" applyAlignment="1">
      <alignment horizontal="right" vertical="center"/>
    </xf>
    <xf numFmtId="0" fontId="0" fillId="0" borderId="25" xfId="0" applyNumberFormat="1" applyBorder="1" applyAlignment="1">
      <alignment horizontal="center" vertical="center"/>
    </xf>
    <xf numFmtId="0" fontId="0" fillId="0" borderId="30" xfId="0" applyBorder="1" applyAlignment="1">
      <alignment horizontal="right" vertical="center"/>
    </xf>
    <xf numFmtId="0" fontId="0" fillId="0" borderId="27" xfId="0" applyNumberFormat="1" applyBorder="1" applyAlignment="1">
      <alignment horizontal="center" vertical="center"/>
    </xf>
    <xf numFmtId="0" fontId="1" fillId="0" borderId="0" xfId="1" applyAlignment="1">
      <alignment vertical="center"/>
    </xf>
    <xf numFmtId="0" fontId="12" fillId="0" borderId="0" xfId="1" applyFont="1" applyAlignment="1">
      <alignment vertical="center"/>
    </xf>
    <xf numFmtId="164" fontId="9" fillId="2" borderId="0" xfId="2" applyNumberFormat="1" applyAlignment="1">
      <alignment horizontal="center" vertical="center"/>
    </xf>
    <xf numFmtId="0" fontId="9" fillId="2" borderId="0" xfId="2" applyAlignment="1">
      <alignment horizontal="center" vertical="center"/>
    </xf>
    <xf numFmtId="0" fontId="10" fillId="3" borderId="0" xfId="3" applyAlignment="1">
      <alignment horizontal="center" vertical="center"/>
    </xf>
    <xf numFmtId="49" fontId="13" fillId="0" borderId="0" xfId="4" applyNumberFormat="1" applyFont="1" applyAlignment="1">
      <alignment horizontal="center" vertical="center"/>
    </xf>
    <xf numFmtId="0" fontId="1" fillId="0" borderId="0" xfId="1" applyAlignment="1">
      <alignment horizontal="right" vertical="center"/>
    </xf>
    <xf numFmtId="0" fontId="1" fillId="0" borderId="0" xfId="1" applyNumberFormat="1" applyAlignment="1">
      <alignment horizontal="left" vertical="center"/>
    </xf>
    <xf numFmtId="0" fontId="1" fillId="0" borderId="0" xfId="1" applyAlignment="1">
      <alignment horizontal="center" vertical="center"/>
    </xf>
    <xf numFmtId="165" fontId="0" fillId="0" borderId="0" xfId="0" applyNumberFormat="1" applyAlignment="1">
      <alignment horizontal="left" vertical="center"/>
    </xf>
    <xf numFmtId="0" fontId="0" fillId="0" borderId="0" xfId="0" applyAlignment="1">
      <alignment horizontal="right"/>
    </xf>
    <xf numFmtId="165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/>
    </xf>
    <xf numFmtId="0" fontId="0" fillId="0" borderId="0" xfId="0" applyAlignment="1">
      <alignment horizontal="left"/>
    </xf>
    <xf numFmtId="0" fontId="1" fillId="0" borderId="0" xfId="1" applyAlignment="1">
      <alignment horizontal="left" vertical="center"/>
    </xf>
    <xf numFmtId="0" fontId="1" fillId="0" borderId="0" xfId="1" applyAlignment="1">
      <alignment horizontal="left"/>
    </xf>
    <xf numFmtId="0" fontId="7" fillId="0" borderId="28" xfId="0" applyFont="1" applyBorder="1" applyAlignment="1">
      <alignment horizontal="center" vertical="center"/>
    </xf>
    <xf numFmtId="0" fontId="7" fillId="0" borderId="25" xfId="0" applyFont="1" applyBorder="1" applyAlignment="1">
      <alignment horizontal="center" vertical="center"/>
    </xf>
    <xf numFmtId="0" fontId="1" fillId="0" borderId="13" xfId="1" applyNumberFormat="1" applyBorder="1" applyAlignment="1">
      <alignment horizontal="center" vertical="center"/>
    </xf>
    <xf numFmtId="0" fontId="7" fillId="0" borderId="0" xfId="0" applyFont="1" applyAlignment="1">
      <alignment horizontal="right" vertical="center"/>
    </xf>
    <xf numFmtId="49" fontId="3" fillId="0" borderId="0" xfId="0" applyNumberFormat="1" applyFont="1" applyAlignment="1">
      <alignment vertical="center"/>
    </xf>
    <xf numFmtId="49" fontId="9" fillId="2" borderId="0" xfId="2" applyNumberFormat="1" applyAlignment="1">
      <alignment vertical="center"/>
    </xf>
    <xf numFmtId="49" fontId="0" fillId="0" borderId="0" xfId="0" quotePrefix="1" applyNumberFormat="1" applyAlignment="1">
      <alignment vertical="center" wrapText="1"/>
    </xf>
    <xf numFmtId="49" fontId="10" fillId="3" borderId="0" xfId="3" applyNumberFormat="1" applyAlignment="1">
      <alignment vertical="center"/>
    </xf>
    <xf numFmtId="49" fontId="15" fillId="4" borderId="32" xfId="5" applyNumberFormat="1" applyAlignment="1">
      <alignment vertical="center"/>
    </xf>
    <xf numFmtId="49" fontId="11" fillId="0" borderId="0" xfId="4" applyNumberFormat="1" applyAlignment="1">
      <alignment horizontal="center" vertical="center"/>
    </xf>
    <xf numFmtId="49" fontId="11" fillId="0" borderId="0" xfId="4" applyNumberFormat="1" applyAlignment="1">
      <alignment horizontal="left" vertical="center"/>
    </xf>
    <xf numFmtId="49" fontId="9" fillId="2" borderId="0" xfId="2" applyNumberFormat="1" applyAlignment="1">
      <alignment vertical="center" wrapText="1"/>
    </xf>
    <xf numFmtId="49" fontId="0" fillId="0" borderId="0" xfId="0" quotePrefix="1" applyNumberFormat="1" applyAlignment="1">
      <alignment vertical="center"/>
    </xf>
    <xf numFmtId="0" fontId="14" fillId="0" borderId="0" xfId="0" applyFont="1" applyAlignment="1"/>
    <xf numFmtId="49" fontId="0" fillId="0" borderId="0" xfId="0" applyNumberFormat="1" applyAlignment="1">
      <alignment vertical="center" wrapText="1"/>
    </xf>
    <xf numFmtId="49" fontId="17" fillId="5" borderId="0" xfId="6" applyNumberFormat="1" applyAlignment="1">
      <alignment vertical="center"/>
    </xf>
    <xf numFmtId="0" fontId="18" fillId="0" borderId="0" xfId="0" applyFont="1" applyAlignment="1">
      <alignment horizontal="center" vertical="center"/>
    </xf>
    <xf numFmtId="0" fontId="18" fillId="0" borderId="0" xfId="0" applyFont="1"/>
    <xf numFmtId="0" fontId="19" fillId="0" borderId="24" xfId="0" applyFont="1" applyBorder="1" applyAlignment="1">
      <alignment horizontal="center" vertical="center"/>
    </xf>
    <xf numFmtId="164" fontId="18" fillId="0" borderId="0" xfId="0" applyNumberFormat="1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18" fillId="0" borderId="0" xfId="0" quotePrefix="1" applyFont="1" applyAlignment="1">
      <alignment horizontal="center" vertical="center"/>
    </xf>
    <xf numFmtId="0" fontId="0" fillId="0" borderId="0" xfId="0" applyNumberFormat="1" applyAlignment="1">
      <alignment vertical="center"/>
    </xf>
    <xf numFmtId="49" fontId="0" fillId="0" borderId="0" xfId="0" applyNumberFormat="1"/>
    <xf numFmtId="49" fontId="5" fillId="0" borderId="0" xfId="0" applyNumberFormat="1" applyFont="1" applyAlignment="1">
      <alignment vertical="center"/>
    </xf>
    <xf numFmtId="0" fontId="5" fillId="0" borderId="0" xfId="0" applyNumberFormat="1" applyFont="1" applyAlignment="1">
      <alignment horizontal="center" vertical="center"/>
    </xf>
    <xf numFmtId="0" fontId="8" fillId="0" borderId="28" xfId="0" applyFont="1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8" fillId="0" borderId="31" xfId="0" applyFont="1" applyBorder="1" applyAlignment="1">
      <alignment horizontal="center" vertical="center"/>
    </xf>
    <xf numFmtId="0" fontId="8" fillId="0" borderId="27" xfId="0" applyFont="1" applyBorder="1" applyAlignment="1">
      <alignment horizontal="center" vertical="center"/>
    </xf>
    <xf numFmtId="49" fontId="3" fillId="0" borderId="28" xfId="0" applyNumberFormat="1" applyFont="1" applyBorder="1" applyAlignment="1">
      <alignment horizontal="center" vertical="center"/>
    </xf>
    <xf numFmtId="49" fontId="3" fillId="0" borderId="29" xfId="0" applyNumberFormat="1" applyFont="1" applyBorder="1" applyAlignment="1">
      <alignment horizontal="center" vertical="center"/>
    </xf>
    <xf numFmtId="49" fontId="3" fillId="0" borderId="25" xfId="0" applyNumberFormat="1" applyFont="1" applyBorder="1" applyAlignment="1">
      <alignment horizontal="center" vertical="center"/>
    </xf>
    <xf numFmtId="0" fontId="0" fillId="0" borderId="20" xfId="0" applyBorder="1" applyAlignment="1">
      <alignment horizontal="left" vertical="center" wrapText="1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1" fillId="0" borderId="29" xfId="1" applyBorder="1" applyAlignment="1">
      <alignment horizontal="center" vertical="center"/>
    </xf>
    <xf numFmtId="0" fontId="17" fillId="5" borderId="0" xfId="6" applyAlignment="1">
      <alignment horizontal="center" vertical="center"/>
    </xf>
    <xf numFmtId="0" fontId="9" fillId="2" borderId="0" xfId="2" applyAlignment="1">
      <alignment horizontal="center" vertical="center"/>
    </xf>
    <xf numFmtId="0" fontId="12" fillId="0" borderId="0" xfId="1" applyFont="1" applyAlignment="1">
      <alignment horizontal="center" vertical="center"/>
    </xf>
    <xf numFmtId="0" fontId="10" fillId="3" borderId="0" xfId="3" applyAlignment="1">
      <alignment horizontal="center" vertical="center"/>
    </xf>
    <xf numFmtId="0" fontId="15" fillId="4" borderId="0" xfId="5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8" xfId="0" applyNumberFormat="1" applyFont="1" applyBorder="1" applyAlignment="1">
      <alignment horizontal="center" vertical="center"/>
    </xf>
    <xf numFmtId="0" fontId="7" fillId="0" borderId="7" xfId="0" applyNumberFormat="1" applyFont="1" applyBorder="1" applyAlignment="1">
      <alignment horizontal="center" vertical="center"/>
    </xf>
    <xf numFmtId="0" fontId="7" fillId="0" borderId="6" xfId="0" applyNumberFormat="1" applyFont="1" applyBorder="1" applyAlignment="1">
      <alignment horizontal="center" vertical="center"/>
    </xf>
    <xf numFmtId="0" fontId="7" fillId="0" borderId="5" xfId="0" applyNumberFormat="1" applyFont="1" applyBorder="1" applyAlignment="1">
      <alignment horizontal="center" vertical="center"/>
    </xf>
    <xf numFmtId="0" fontId="7" fillId="0" borderId="0" xfId="0" applyNumberFormat="1" applyFont="1" applyBorder="1" applyAlignment="1">
      <alignment horizontal="center" vertical="center"/>
    </xf>
    <xf numFmtId="0" fontId="7" fillId="0" borderId="4" xfId="0" applyNumberFormat="1" applyFont="1" applyBorder="1" applyAlignment="1">
      <alignment horizontal="center" vertical="center"/>
    </xf>
    <xf numFmtId="0" fontId="7" fillId="0" borderId="3" xfId="0" applyNumberFormat="1" applyFont="1" applyBorder="1" applyAlignment="1">
      <alignment horizontal="center" vertical="center"/>
    </xf>
    <xf numFmtId="0" fontId="7" fillId="0" borderId="2" xfId="0" applyNumberFormat="1" applyFont="1" applyBorder="1" applyAlignment="1">
      <alignment horizontal="center" vertical="center"/>
    </xf>
    <xf numFmtId="0" fontId="7" fillId="0" borderId="1" xfId="0" applyNumberFormat="1" applyFont="1" applyBorder="1" applyAlignment="1">
      <alignment horizontal="center" vertical="center"/>
    </xf>
    <xf numFmtId="0" fontId="16" fillId="0" borderId="29" xfId="0" applyFont="1" applyBorder="1" applyAlignment="1">
      <alignment horizontal="center" vertical="center"/>
    </xf>
    <xf numFmtId="0" fontId="16" fillId="0" borderId="30" xfId="0" applyFont="1" applyBorder="1" applyAlignment="1">
      <alignment horizontal="center" vertical="center"/>
    </xf>
    <xf numFmtId="0" fontId="16" fillId="0" borderId="31" xfId="0" applyFont="1" applyBorder="1" applyAlignment="1">
      <alignment horizontal="center" vertical="center"/>
    </xf>
    <xf numFmtId="0" fontId="16" fillId="0" borderId="27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7">
    <cellStyle name="Bad" xfId="3" builtinId="27"/>
    <cellStyle name="Calculation" xfId="5" builtinId="22"/>
    <cellStyle name="Explanatory Text" xfId="1" builtinId="53"/>
    <cellStyle name="Good" xfId="2" builtinId="26"/>
    <cellStyle name="Neutral" xfId="6" builtinId="28"/>
    <cellStyle name="Normal" xfId="0" builtinId="0"/>
    <cellStyle name="Warning Text" xfId="4" builtinId="11"/>
  </cellStyles>
  <dxfs count="3">
    <dxf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ustomXml" Target="../customXml/item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10" Type="http://schemas.openxmlformats.org/officeDocument/2006/relationships/image" Target="../media/image10.emf"/><Relationship Id="rId4" Type="http://schemas.openxmlformats.org/officeDocument/2006/relationships/image" Target="../media/image3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18</xdr:row>
          <xdr:rowOff>38100</xdr:rowOff>
        </xdr:from>
        <xdr:to>
          <xdr:col>12</xdr:col>
          <xdr:colOff>571500</xdr:colOff>
          <xdr:row>21</xdr:row>
          <xdr:rowOff>161925</xdr:rowOff>
        </xdr:to>
        <xdr:sp macro="" textlink="">
          <xdr:nvSpPr>
            <xdr:cNvPr id="14344" name="PAYNOWQUICK_MOBILE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1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14</xdr:row>
          <xdr:rowOff>28575</xdr:rowOff>
        </xdr:from>
        <xdr:to>
          <xdr:col>12</xdr:col>
          <xdr:colOff>571500</xdr:colOff>
          <xdr:row>17</xdr:row>
          <xdr:rowOff>152400</xdr:rowOff>
        </xdr:to>
        <xdr:sp macro="" textlink="">
          <xdr:nvSpPr>
            <xdr:cNvPr id="14346" name="SGQRVISAQUICK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00000000-0008-0000-0100-00000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14</xdr:row>
          <xdr:rowOff>28575</xdr:rowOff>
        </xdr:from>
        <xdr:to>
          <xdr:col>14</xdr:col>
          <xdr:colOff>581025</xdr:colOff>
          <xdr:row>17</xdr:row>
          <xdr:rowOff>152400</xdr:rowOff>
        </xdr:to>
        <xdr:sp macro="" textlink="">
          <xdr:nvSpPr>
            <xdr:cNvPr id="14347" name="SGQRMASTERCARDQUICK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00000000-0008-0000-0100-00000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22</xdr:row>
          <xdr:rowOff>38100</xdr:rowOff>
        </xdr:from>
        <xdr:to>
          <xdr:col>12</xdr:col>
          <xdr:colOff>571500</xdr:colOff>
          <xdr:row>25</xdr:row>
          <xdr:rowOff>161925</xdr:rowOff>
        </xdr:to>
        <xdr:sp macro="" textlink="">
          <xdr:nvSpPr>
            <xdr:cNvPr id="14348" name="SGNETSQRQUICK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00000000-0008-0000-0100-00000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10</xdr:row>
          <xdr:rowOff>38100</xdr:rowOff>
        </xdr:from>
        <xdr:to>
          <xdr:col>17</xdr:col>
          <xdr:colOff>9525</xdr:colOff>
          <xdr:row>13</xdr:row>
          <xdr:rowOff>161925</xdr:rowOff>
        </xdr:to>
        <xdr:sp macro="" textlink="">
          <xdr:nvSpPr>
            <xdr:cNvPr id="14349" name="CLEARALL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00000000-0008-0000-0100-00000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18</xdr:row>
          <xdr:rowOff>38100</xdr:rowOff>
        </xdr:from>
        <xdr:to>
          <xdr:col>14</xdr:col>
          <xdr:colOff>581025</xdr:colOff>
          <xdr:row>21</xdr:row>
          <xdr:rowOff>161925</xdr:rowOff>
        </xdr:to>
        <xdr:sp macro="" textlink="">
          <xdr:nvSpPr>
            <xdr:cNvPr id="14350" name="PAYNOWQUICK_UEN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00000000-0008-0000-0100-00000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18</xdr:row>
          <xdr:rowOff>38100</xdr:rowOff>
        </xdr:from>
        <xdr:to>
          <xdr:col>17</xdr:col>
          <xdr:colOff>9525</xdr:colOff>
          <xdr:row>21</xdr:row>
          <xdr:rowOff>161925</xdr:rowOff>
        </xdr:to>
        <xdr:sp macro="" textlink="">
          <xdr:nvSpPr>
            <xdr:cNvPr id="14351" name="PAYNOWQUICK_VPA" hidden="1">
              <a:extLst>
                <a:ext uri="{63B3BB69-23CF-44E3-9099-C40C66FF867C}">
                  <a14:compatExt spid="_x0000_s14351"/>
                </a:ext>
                <a:ext uri="{FF2B5EF4-FFF2-40B4-BE49-F238E27FC236}">
                  <a16:creationId xmlns:a16="http://schemas.microsoft.com/office/drawing/2014/main" id="{00000000-0008-0000-0100-00000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22</xdr:row>
          <xdr:rowOff>38100</xdr:rowOff>
        </xdr:from>
        <xdr:to>
          <xdr:col>14</xdr:col>
          <xdr:colOff>571500</xdr:colOff>
          <xdr:row>25</xdr:row>
          <xdr:rowOff>161925</xdr:rowOff>
        </xdr:to>
        <xdr:sp macro="" textlink="">
          <xdr:nvSpPr>
            <xdr:cNvPr id="14352" name="SGNETSnPAYNOWQRQUICK" hidden="1">
              <a:extLst>
                <a:ext uri="{63B3BB69-23CF-44E3-9099-C40C66FF867C}">
                  <a14:compatExt spid="_x0000_s14352"/>
                </a:ext>
                <a:ext uri="{FF2B5EF4-FFF2-40B4-BE49-F238E27FC236}">
                  <a16:creationId xmlns:a16="http://schemas.microsoft.com/office/drawing/2014/main" id="{00000000-0008-0000-0100-00001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14</xdr:row>
          <xdr:rowOff>28575</xdr:rowOff>
        </xdr:from>
        <xdr:to>
          <xdr:col>17</xdr:col>
          <xdr:colOff>9525</xdr:colOff>
          <xdr:row>17</xdr:row>
          <xdr:rowOff>152400</xdr:rowOff>
        </xdr:to>
        <xdr:sp macro="" textlink="">
          <xdr:nvSpPr>
            <xdr:cNvPr id="14353" name="SGQRVISAnMASTERQUICK" hidden="1">
              <a:extLst>
                <a:ext uri="{63B3BB69-23CF-44E3-9099-C40C66FF867C}">
                  <a14:compatExt spid="_x0000_s14353"/>
                </a:ext>
                <a:ext uri="{FF2B5EF4-FFF2-40B4-BE49-F238E27FC236}">
                  <a16:creationId xmlns:a16="http://schemas.microsoft.com/office/drawing/2014/main" id="{00000000-0008-0000-0100-00001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22</xdr:row>
          <xdr:rowOff>38100</xdr:rowOff>
        </xdr:from>
        <xdr:to>
          <xdr:col>17</xdr:col>
          <xdr:colOff>9525</xdr:colOff>
          <xdr:row>25</xdr:row>
          <xdr:rowOff>161925</xdr:rowOff>
        </xdr:to>
        <xdr:sp macro="" textlink="">
          <xdr:nvSpPr>
            <xdr:cNvPr id="14354" name="SGQRnetsPAYNOWvisaMASTERCARD" hidden="1">
              <a:extLst>
                <a:ext uri="{63B3BB69-23CF-44E3-9099-C40C66FF867C}">
                  <a14:compatExt spid="_x0000_s14354"/>
                </a:ext>
                <a:ext uri="{FF2B5EF4-FFF2-40B4-BE49-F238E27FC236}">
                  <a16:creationId xmlns:a16="http://schemas.microsoft.com/office/drawing/2014/main" id="{00000000-0008-0000-0100-00001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32</xdr:row>
          <xdr:rowOff>95250</xdr:rowOff>
        </xdr:from>
        <xdr:to>
          <xdr:col>7</xdr:col>
          <xdr:colOff>371475</xdr:colOff>
          <xdr:row>36</xdr:row>
          <xdr:rowOff>171450</xdr:rowOff>
        </xdr:to>
        <xdr:sp macro="" textlink="">
          <xdr:nvSpPr>
            <xdr:cNvPr id="12290" name="DECODEQRGENERATE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390525</xdr:colOff>
          <xdr:row>32</xdr:row>
          <xdr:rowOff>104775</xdr:rowOff>
        </xdr:from>
        <xdr:to>
          <xdr:col>19</xdr:col>
          <xdr:colOff>257175</xdr:colOff>
          <xdr:row>36</xdr:row>
          <xdr:rowOff>133350</xdr:rowOff>
        </xdr:to>
        <xdr:sp macro="" textlink="">
          <xdr:nvSpPr>
            <xdr:cNvPr id="12291" name="ENCODEQRGENERATE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317353</xdr:colOff>
      <xdr:row>2</xdr:row>
      <xdr:rowOff>131615</xdr:rowOff>
    </xdr:from>
    <xdr:to>
      <xdr:col>10</xdr:col>
      <xdr:colOff>292248</xdr:colOff>
      <xdr:row>31</xdr:row>
      <xdr:rowOff>68410</xdr:rowOff>
    </xdr:to>
    <xdr:grpSp>
      <xdr:nvGrpSpPr>
        <xdr:cNvPr id="137327" name="QRD" descr="QuickResponse barcode, level L, version 6, mode binary, 41x41 cells" title="00020101021126380009SG.PAYNOW010100211+6582014380030115303702540510.005802SG5912QR Generator6009SINGAPORE6106081006630469BF">
          <a:extLst>
            <a:ext uri="{FF2B5EF4-FFF2-40B4-BE49-F238E27FC236}">
              <a16:creationId xmlns:a16="http://schemas.microsoft.com/office/drawing/2014/main" id="{00000000-0008-0000-0200-00006F180200}"/>
            </a:ext>
          </a:extLst>
        </xdr:cNvPr>
        <xdr:cNvGrpSpPr>
          <a:grpSpLocks noChangeAspect="1"/>
        </xdr:cNvGrpSpPr>
      </xdr:nvGrpSpPr>
      <xdr:grpSpPr>
        <a:xfrm>
          <a:off x="926953" y="522140"/>
          <a:ext cx="5461295" cy="5461295"/>
          <a:chOff x="0" y="0"/>
          <a:chExt cx="520700" cy="520700"/>
        </a:xfrm>
      </xdr:grpSpPr>
      <xdr:sp macro="" textlink="">
        <xdr:nvSpPr>
          <xdr:cNvPr id="136484" name="QRD">
            <a:extLst>
              <a:ext uri="{FF2B5EF4-FFF2-40B4-BE49-F238E27FC236}">
                <a16:creationId xmlns:a16="http://schemas.microsoft.com/office/drawing/2014/main" id="{00000000-0008-0000-0200-00002415020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485" name="QRD">
            <a:extLst>
              <a:ext uri="{FF2B5EF4-FFF2-40B4-BE49-F238E27FC236}">
                <a16:creationId xmlns:a16="http://schemas.microsoft.com/office/drawing/2014/main" id="{00000000-0008-0000-0200-000025150200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486" name="QRD">
            <a:extLst>
              <a:ext uri="{FF2B5EF4-FFF2-40B4-BE49-F238E27FC236}">
                <a16:creationId xmlns:a16="http://schemas.microsoft.com/office/drawing/2014/main" id="{00000000-0008-0000-0200-00002615020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487" name="QRD">
            <a:extLst>
              <a:ext uri="{FF2B5EF4-FFF2-40B4-BE49-F238E27FC236}">
                <a16:creationId xmlns:a16="http://schemas.microsoft.com/office/drawing/2014/main" id="{00000000-0008-0000-0200-000027150200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488" name="QRD">
            <a:extLst>
              <a:ext uri="{FF2B5EF4-FFF2-40B4-BE49-F238E27FC236}">
                <a16:creationId xmlns:a16="http://schemas.microsoft.com/office/drawing/2014/main" id="{00000000-0008-0000-0200-000028150200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489" name="QRD">
            <a:extLst>
              <a:ext uri="{FF2B5EF4-FFF2-40B4-BE49-F238E27FC236}">
                <a16:creationId xmlns:a16="http://schemas.microsoft.com/office/drawing/2014/main" id="{00000000-0008-0000-0200-00002915020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490" name="QRD">
            <a:extLst>
              <a:ext uri="{FF2B5EF4-FFF2-40B4-BE49-F238E27FC236}">
                <a16:creationId xmlns:a16="http://schemas.microsoft.com/office/drawing/2014/main" id="{00000000-0008-0000-0200-00002A15020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491" name="QRD">
            <a:extLst>
              <a:ext uri="{FF2B5EF4-FFF2-40B4-BE49-F238E27FC236}">
                <a16:creationId xmlns:a16="http://schemas.microsoft.com/office/drawing/2014/main" id="{00000000-0008-0000-0200-00002B150200}"/>
              </a:ext>
            </a:extLst>
          </xdr:cNvPr>
          <xdr:cNvSpPr/>
        </xdr:nvSpPr>
        <xdr:spPr>
          <a:xfrm>
            <a:off x="101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492" name="QRD">
            <a:extLst>
              <a:ext uri="{FF2B5EF4-FFF2-40B4-BE49-F238E27FC236}">
                <a16:creationId xmlns:a16="http://schemas.microsoft.com/office/drawing/2014/main" id="{00000000-0008-0000-0200-00002C150200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493" name="QRD">
            <a:extLst>
              <a:ext uri="{FF2B5EF4-FFF2-40B4-BE49-F238E27FC236}">
                <a16:creationId xmlns:a16="http://schemas.microsoft.com/office/drawing/2014/main" id="{00000000-0008-0000-0200-00002D150200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494" name="QRD">
            <a:extLst>
              <a:ext uri="{FF2B5EF4-FFF2-40B4-BE49-F238E27FC236}">
                <a16:creationId xmlns:a16="http://schemas.microsoft.com/office/drawing/2014/main" id="{00000000-0008-0000-0200-00002E150200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495" name="QRD">
            <a:extLst>
              <a:ext uri="{FF2B5EF4-FFF2-40B4-BE49-F238E27FC236}">
                <a16:creationId xmlns:a16="http://schemas.microsoft.com/office/drawing/2014/main" id="{00000000-0008-0000-0200-00002F150200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496" name="QRD">
            <a:extLst>
              <a:ext uri="{FF2B5EF4-FFF2-40B4-BE49-F238E27FC236}">
                <a16:creationId xmlns:a16="http://schemas.microsoft.com/office/drawing/2014/main" id="{00000000-0008-0000-0200-000030150200}"/>
              </a:ext>
            </a:extLst>
          </xdr:cNvPr>
          <xdr:cNvSpPr/>
        </xdr:nvSpPr>
        <xdr:spPr>
          <a:xfrm>
            <a:off x="304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497" name="QRD">
            <a:extLst>
              <a:ext uri="{FF2B5EF4-FFF2-40B4-BE49-F238E27FC236}">
                <a16:creationId xmlns:a16="http://schemas.microsoft.com/office/drawing/2014/main" id="{00000000-0008-0000-0200-000031150200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498" name="QRD">
            <a:extLst>
              <a:ext uri="{FF2B5EF4-FFF2-40B4-BE49-F238E27FC236}">
                <a16:creationId xmlns:a16="http://schemas.microsoft.com/office/drawing/2014/main" id="{00000000-0008-0000-0200-000032150200}"/>
              </a:ext>
            </a:extLst>
          </xdr:cNvPr>
          <xdr:cNvSpPr/>
        </xdr:nvSpPr>
        <xdr:spPr>
          <a:xfrm>
            <a:off x="368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499" name="QRD">
            <a:extLst>
              <a:ext uri="{FF2B5EF4-FFF2-40B4-BE49-F238E27FC236}">
                <a16:creationId xmlns:a16="http://schemas.microsoft.com/office/drawing/2014/main" id="{00000000-0008-0000-0200-000033150200}"/>
              </a:ext>
            </a:extLst>
          </xdr:cNvPr>
          <xdr:cNvSpPr/>
        </xdr:nvSpPr>
        <xdr:spPr>
          <a:xfrm>
            <a:off x="406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00" name="QRD">
            <a:extLst>
              <a:ext uri="{FF2B5EF4-FFF2-40B4-BE49-F238E27FC236}">
                <a16:creationId xmlns:a16="http://schemas.microsoft.com/office/drawing/2014/main" id="{00000000-0008-0000-0200-000034150200}"/>
              </a:ext>
            </a:extLst>
          </xdr:cNvPr>
          <xdr:cNvSpPr/>
        </xdr:nvSpPr>
        <xdr:spPr>
          <a:xfrm>
            <a:off x="431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01" name="QRD">
            <a:extLst>
              <a:ext uri="{FF2B5EF4-FFF2-40B4-BE49-F238E27FC236}">
                <a16:creationId xmlns:a16="http://schemas.microsoft.com/office/drawing/2014/main" id="{00000000-0008-0000-0200-000035150200}"/>
              </a:ext>
            </a:extLst>
          </xdr:cNvPr>
          <xdr:cNvSpPr/>
        </xdr:nvSpPr>
        <xdr:spPr>
          <a:xfrm>
            <a:off x="444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02" name="QRD">
            <a:extLst>
              <a:ext uri="{FF2B5EF4-FFF2-40B4-BE49-F238E27FC236}">
                <a16:creationId xmlns:a16="http://schemas.microsoft.com/office/drawing/2014/main" id="{00000000-0008-0000-0200-000036150200}"/>
              </a:ext>
            </a:extLst>
          </xdr:cNvPr>
          <xdr:cNvSpPr/>
        </xdr:nvSpPr>
        <xdr:spPr>
          <a:xfrm>
            <a:off x="457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03" name="QRD">
            <a:extLst>
              <a:ext uri="{FF2B5EF4-FFF2-40B4-BE49-F238E27FC236}">
                <a16:creationId xmlns:a16="http://schemas.microsoft.com/office/drawing/2014/main" id="{00000000-0008-0000-0200-000037150200}"/>
              </a:ext>
            </a:extLst>
          </xdr:cNvPr>
          <xdr:cNvSpPr/>
        </xdr:nvSpPr>
        <xdr:spPr>
          <a:xfrm>
            <a:off x="4699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04" name="QRD">
            <a:extLst>
              <a:ext uri="{FF2B5EF4-FFF2-40B4-BE49-F238E27FC236}">
                <a16:creationId xmlns:a16="http://schemas.microsoft.com/office/drawing/2014/main" id="{00000000-0008-0000-0200-000038150200}"/>
              </a:ext>
            </a:extLst>
          </xdr:cNvPr>
          <xdr:cNvSpPr/>
        </xdr:nvSpPr>
        <xdr:spPr>
          <a:xfrm>
            <a:off x="482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05" name="QRD">
            <a:extLst>
              <a:ext uri="{FF2B5EF4-FFF2-40B4-BE49-F238E27FC236}">
                <a16:creationId xmlns:a16="http://schemas.microsoft.com/office/drawing/2014/main" id="{00000000-0008-0000-0200-000039150200}"/>
              </a:ext>
            </a:extLst>
          </xdr:cNvPr>
          <xdr:cNvSpPr/>
        </xdr:nvSpPr>
        <xdr:spPr>
          <a:xfrm>
            <a:off x="495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06" name="QRD">
            <a:extLst>
              <a:ext uri="{FF2B5EF4-FFF2-40B4-BE49-F238E27FC236}">
                <a16:creationId xmlns:a16="http://schemas.microsoft.com/office/drawing/2014/main" id="{00000000-0008-0000-0200-00003A150200}"/>
              </a:ext>
            </a:extLst>
          </xdr:cNvPr>
          <xdr:cNvSpPr/>
        </xdr:nvSpPr>
        <xdr:spPr>
          <a:xfrm>
            <a:off x="508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07" name="QRD">
            <a:extLst>
              <a:ext uri="{FF2B5EF4-FFF2-40B4-BE49-F238E27FC236}">
                <a16:creationId xmlns:a16="http://schemas.microsoft.com/office/drawing/2014/main" id="{00000000-0008-0000-0200-00003B15020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08" name="QRD">
            <a:extLst>
              <a:ext uri="{FF2B5EF4-FFF2-40B4-BE49-F238E27FC236}">
                <a16:creationId xmlns:a16="http://schemas.microsoft.com/office/drawing/2014/main" id="{00000000-0008-0000-0200-00003C15020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09" name="QRD">
            <a:extLst>
              <a:ext uri="{FF2B5EF4-FFF2-40B4-BE49-F238E27FC236}">
                <a16:creationId xmlns:a16="http://schemas.microsoft.com/office/drawing/2014/main" id="{00000000-0008-0000-0200-00003D150200}"/>
              </a:ext>
            </a:extLst>
          </xdr:cNvPr>
          <xdr:cNvSpPr/>
        </xdr:nvSpPr>
        <xdr:spPr>
          <a:xfrm>
            <a:off x="1016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10" name="QRD">
            <a:extLst>
              <a:ext uri="{FF2B5EF4-FFF2-40B4-BE49-F238E27FC236}">
                <a16:creationId xmlns:a16="http://schemas.microsoft.com/office/drawing/2014/main" id="{00000000-0008-0000-0200-00003E150200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11" name="QRD">
            <a:extLst>
              <a:ext uri="{FF2B5EF4-FFF2-40B4-BE49-F238E27FC236}">
                <a16:creationId xmlns:a16="http://schemas.microsoft.com/office/drawing/2014/main" id="{00000000-0008-0000-0200-00003F150200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12" name="QRD">
            <a:extLst>
              <a:ext uri="{FF2B5EF4-FFF2-40B4-BE49-F238E27FC236}">
                <a16:creationId xmlns:a16="http://schemas.microsoft.com/office/drawing/2014/main" id="{00000000-0008-0000-0200-000040150200}"/>
              </a:ext>
            </a:extLst>
          </xdr:cNvPr>
          <xdr:cNvSpPr/>
        </xdr:nvSpPr>
        <xdr:spPr>
          <a:xfrm>
            <a:off x="2159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13" name="QRD">
            <a:extLst>
              <a:ext uri="{FF2B5EF4-FFF2-40B4-BE49-F238E27FC236}">
                <a16:creationId xmlns:a16="http://schemas.microsoft.com/office/drawing/2014/main" id="{00000000-0008-0000-0200-000041150200}"/>
              </a:ext>
            </a:extLst>
          </xdr:cNvPr>
          <xdr:cNvSpPr/>
        </xdr:nvSpPr>
        <xdr:spPr>
          <a:xfrm>
            <a:off x="2413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14" name="QRD">
            <a:extLst>
              <a:ext uri="{FF2B5EF4-FFF2-40B4-BE49-F238E27FC236}">
                <a16:creationId xmlns:a16="http://schemas.microsoft.com/office/drawing/2014/main" id="{00000000-0008-0000-0200-000042150200}"/>
              </a:ext>
            </a:extLst>
          </xdr:cNvPr>
          <xdr:cNvSpPr/>
        </xdr:nvSpPr>
        <xdr:spPr>
          <a:xfrm>
            <a:off x="254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15" name="QRD">
            <a:extLst>
              <a:ext uri="{FF2B5EF4-FFF2-40B4-BE49-F238E27FC236}">
                <a16:creationId xmlns:a16="http://schemas.microsoft.com/office/drawing/2014/main" id="{00000000-0008-0000-0200-000043150200}"/>
              </a:ext>
            </a:extLst>
          </xdr:cNvPr>
          <xdr:cNvSpPr/>
        </xdr:nvSpPr>
        <xdr:spPr>
          <a:xfrm>
            <a:off x="2667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16" name="QRD">
            <a:extLst>
              <a:ext uri="{FF2B5EF4-FFF2-40B4-BE49-F238E27FC236}">
                <a16:creationId xmlns:a16="http://schemas.microsoft.com/office/drawing/2014/main" id="{00000000-0008-0000-0200-000044150200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17" name="QRD">
            <a:extLst>
              <a:ext uri="{FF2B5EF4-FFF2-40B4-BE49-F238E27FC236}">
                <a16:creationId xmlns:a16="http://schemas.microsoft.com/office/drawing/2014/main" id="{00000000-0008-0000-0200-000045150200}"/>
              </a:ext>
            </a:extLst>
          </xdr:cNvPr>
          <xdr:cNvSpPr/>
        </xdr:nvSpPr>
        <xdr:spPr>
          <a:xfrm>
            <a:off x="3175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18" name="QRD">
            <a:extLst>
              <a:ext uri="{FF2B5EF4-FFF2-40B4-BE49-F238E27FC236}">
                <a16:creationId xmlns:a16="http://schemas.microsoft.com/office/drawing/2014/main" id="{00000000-0008-0000-0200-000046150200}"/>
              </a:ext>
            </a:extLst>
          </xdr:cNvPr>
          <xdr:cNvSpPr/>
        </xdr:nvSpPr>
        <xdr:spPr>
          <a:xfrm>
            <a:off x="330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19" name="QRD">
            <a:extLst>
              <a:ext uri="{FF2B5EF4-FFF2-40B4-BE49-F238E27FC236}">
                <a16:creationId xmlns:a16="http://schemas.microsoft.com/office/drawing/2014/main" id="{00000000-0008-0000-0200-000047150200}"/>
              </a:ext>
            </a:extLst>
          </xdr:cNvPr>
          <xdr:cNvSpPr/>
        </xdr:nvSpPr>
        <xdr:spPr>
          <a:xfrm>
            <a:off x="3556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20" name="QRD">
            <a:extLst>
              <a:ext uri="{FF2B5EF4-FFF2-40B4-BE49-F238E27FC236}">
                <a16:creationId xmlns:a16="http://schemas.microsoft.com/office/drawing/2014/main" id="{00000000-0008-0000-0200-000048150200}"/>
              </a:ext>
            </a:extLst>
          </xdr:cNvPr>
          <xdr:cNvSpPr/>
        </xdr:nvSpPr>
        <xdr:spPr>
          <a:xfrm>
            <a:off x="3683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21" name="QRD">
            <a:extLst>
              <a:ext uri="{FF2B5EF4-FFF2-40B4-BE49-F238E27FC236}">
                <a16:creationId xmlns:a16="http://schemas.microsoft.com/office/drawing/2014/main" id="{00000000-0008-0000-0200-000049150200}"/>
              </a:ext>
            </a:extLst>
          </xdr:cNvPr>
          <xdr:cNvSpPr/>
        </xdr:nvSpPr>
        <xdr:spPr>
          <a:xfrm>
            <a:off x="3937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22" name="QRD">
            <a:extLst>
              <a:ext uri="{FF2B5EF4-FFF2-40B4-BE49-F238E27FC236}">
                <a16:creationId xmlns:a16="http://schemas.microsoft.com/office/drawing/2014/main" id="{00000000-0008-0000-0200-00004A150200}"/>
              </a:ext>
            </a:extLst>
          </xdr:cNvPr>
          <xdr:cNvSpPr/>
        </xdr:nvSpPr>
        <xdr:spPr>
          <a:xfrm>
            <a:off x="406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23" name="QRD">
            <a:extLst>
              <a:ext uri="{FF2B5EF4-FFF2-40B4-BE49-F238E27FC236}">
                <a16:creationId xmlns:a16="http://schemas.microsoft.com/office/drawing/2014/main" id="{00000000-0008-0000-0200-00004B150200}"/>
              </a:ext>
            </a:extLst>
          </xdr:cNvPr>
          <xdr:cNvSpPr/>
        </xdr:nvSpPr>
        <xdr:spPr>
          <a:xfrm>
            <a:off x="4318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24" name="QRD">
            <a:extLst>
              <a:ext uri="{FF2B5EF4-FFF2-40B4-BE49-F238E27FC236}">
                <a16:creationId xmlns:a16="http://schemas.microsoft.com/office/drawing/2014/main" id="{00000000-0008-0000-0200-00004C150200}"/>
              </a:ext>
            </a:extLst>
          </xdr:cNvPr>
          <xdr:cNvSpPr/>
        </xdr:nvSpPr>
        <xdr:spPr>
          <a:xfrm>
            <a:off x="508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25" name="QRD">
            <a:extLst>
              <a:ext uri="{FF2B5EF4-FFF2-40B4-BE49-F238E27FC236}">
                <a16:creationId xmlns:a16="http://schemas.microsoft.com/office/drawing/2014/main" id="{00000000-0008-0000-0200-00004D150200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26" name="QRD">
            <a:extLst>
              <a:ext uri="{FF2B5EF4-FFF2-40B4-BE49-F238E27FC236}">
                <a16:creationId xmlns:a16="http://schemas.microsoft.com/office/drawing/2014/main" id="{00000000-0008-0000-0200-00004E150200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27" name="QRD">
            <a:extLst>
              <a:ext uri="{FF2B5EF4-FFF2-40B4-BE49-F238E27FC236}">
                <a16:creationId xmlns:a16="http://schemas.microsoft.com/office/drawing/2014/main" id="{00000000-0008-0000-0200-00004F150200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28" name="QRD">
            <a:extLst>
              <a:ext uri="{FF2B5EF4-FFF2-40B4-BE49-F238E27FC236}">
                <a16:creationId xmlns:a16="http://schemas.microsoft.com/office/drawing/2014/main" id="{00000000-0008-0000-0200-000050150200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29" name="QRD">
            <a:extLst>
              <a:ext uri="{FF2B5EF4-FFF2-40B4-BE49-F238E27FC236}">
                <a16:creationId xmlns:a16="http://schemas.microsoft.com/office/drawing/2014/main" id="{00000000-0008-0000-0200-000051150200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30" name="QRD">
            <a:extLst>
              <a:ext uri="{FF2B5EF4-FFF2-40B4-BE49-F238E27FC236}">
                <a16:creationId xmlns:a16="http://schemas.microsoft.com/office/drawing/2014/main" id="{00000000-0008-0000-0200-000052150200}"/>
              </a:ext>
            </a:extLst>
          </xdr:cNvPr>
          <xdr:cNvSpPr/>
        </xdr:nvSpPr>
        <xdr:spPr>
          <a:xfrm>
            <a:off x="1016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31" name="QRD">
            <a:extLst>
              <a:ext uri="{FF2B5EF4-FFF2-40B4-BE49-F238E27FC236}">
                <a16:creationId xmlns:a16="http://schemas.microsoft.com/office/drawing/2014/main" id="{00000000-0008-0000-0200-000053150200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32" name="QRD">
            <a:extLst>
              <a:ext uri="{FF2B5EF4-FFF2-40B4-BE49-F238E27FC236}">
                <a16:creationId xmlns:a16="http://schemas.microsoft.com/office/drawing/2014/main" id="{00000000-0008-0000-0200-000054150200}"/>
              </a:ext>
            </a:extLst>
          </xdr:cNvPr>
          <xdr:cNvSpPr/>
        </xdr:nvSpPr>
        <xdr:spPr>
          <a:xfrm>
            <a:off x="127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33" name="QRD">
            <a:extLst>
              <a:ext uri="{FF2B5EF4-FFF2-40B4-BE49-F238E27FC236}">
                <a16:creationId xmlns:a16="http://schemas.microsoft.com/office/drawing/2014/main" id="{00000000-0008-0000-0200-000055150200}"/>
              </a:ext>
            </a:extLst>
          </xdr:cNvPr>
          <xdr:cNvSpPr/>
        </xdr:nvSpPr>
        <xdr:spPr>
          <a:xfrm>
            <a:off x="1397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34" name="QRD">
            <a:extLst>
              <a:ext uri="{FF2B5EF4-FFF2-40B4-BE49-F238E27FC236}">
                <a16:creationId xmlns:a16="http://schemas.microsoft.com/office/drawing/2014/main" id="{00000000-0008-0000-0200-000056150200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35" name="QRD">
            <a:extLst>
              <a:ext uri="{FF2B5EF4-FFF2-40B4-BE49-F238E27FC236}">
                <a16:creationId xmlns:a16="http://schemas.microsoft.com/office/drawing/2014/main" id="{00000000-0008-0000-0200-000057150200}"/>
              </a:ext>
            </a:extLst>
          </xdr:cNvPr>
          <xdr:cNvSpPr/>
        </xdr:nvSpPr>
        <xdr:spPr>
          <a:xfrm>
            <a:off x="165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36" name="QRD">
            <a:extLst>
              <a:ext uri="{FF2B5EF4-FFF2-40B4-BE49-F238E27FC236}">
                <a16:creationId xmlns:a16="http://schemas.microsoft.com/office/drawing/2014/main" id="{00000000-0008-0000-0200-000058150200}"/>
              </a:ext>
            </a:extLst>
          </xdr:cNvPr>
          <xdr:cNvSpPr/>
        </xdr:nvSpPr>
        <xdr:spPr>
          <a:xfrm>
            <a:off x="203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37" name="QRD">
            <a:extLst>
              <a:ext uri="{FF2B5EF4-FFF2-40B4-BE49-F238E27FC236}">
                <a16:creationId xmlns:a16="http://schemas.microsoft.com/office/drawing/2014/main" id="{00000000-0008-0000-0200-000059150200}"/>
              </a:ext>
            </a:extLst>
          </xdr:cNvPr>
          <xdr:cNvSpPr/>
        </xdr:nvSpPr>
        <xdr:spPr>
          <a:xfrm>
            <a:off x="2159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38" name="QRD">
            <a:extLst>
              <a:ext uri="{FF2B5EF4-FFF2-40B4-BE49-F238E27FC236}">
                <a16:creationId xmlns:a16="http://schemas.microsoft.com/office/drawing/2014/main" id="{00000000-0008-0000-0200-00005A150200}"/>
              </a:ext>
            </a:extLst>
          </xdr:cNvPr>
          <xdr:cNvSpPr/>
        </xdr:nvSpPr>
        <xdr:spPr>
          <a:xfrm>
            <a:off x="2667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39" name="QRD">
            <a:extLst>
              <a:ext uri="{FF2B5EF4-FFF2-40B4-BE49-F238E27FC236}">
                <a16:creationId xmlns:a16="http://schemas.microsoft.com/office/drawing/2014/main" id="{00000000-0008-0000-0200-00005B150200}"/>
              </a:ext>
            </a:extLst>
          </xdr:cNvPr>
          <xdr:cNvSpPr/>
        </xdr:nvSpPr>
        <xdr:spPr>
          <a:xfrm>
            <a:off x="279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40" name="QRD">
            <a:extLst>
              <a:ext uri="{FF2B5EF4-FFF2-40B4-BE49-F238E27FC236}">
                <a16:creationId xmlns:a16="http://schemas.microsoft.com/office/drawing/2014/main" id="{00000000-0008-0000-0200-00005C150200}"/>
              </a:ext>
            </a:extLst>
          </xdr:cNvPr>
          <xdr:cNvSpPr/>
        </xdr:nvSpPr>
        <xdr:spPr>
          <a:xfrm>
            <a:off x="292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41" name="QRD">
            <a:extLst>
              <a:ext uri="{FF2B5EF4-FFF2-40B4-BE49-F238E27FC236}">
                <a16:creationId xmlns:a16="http://schemas.microsoft.com/office/drawing/2014/main" id="{00000000-0008-0000-0200-00005D150200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42" name="QRD">
            <a:extLst>
              <a:ext uri="{FF2B5EF4-FFF2-40B4-BE49-F238E27FC236}">
                <a16:creationId xmlns:a16="http://schemas.microsoft.com/office/drawing/2014/main" id="{00000000-0008-0000-0200-00005E150200}"/>
              </a:ext>
            </a:extLst>
          </xdr:cNvPr>
          <xdr:cNvSpPr/>
        </xdr:nvSpPr>
        <xdr:spPr>
          <a:xfrm>
            <a:off x="3683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43" name="QRD">
            <a:extLst>
              <a:ext uri="{FF2B5EF4-FFF2-40B4-BE49-F238E27FC236}">
                <a16:creationId xmlns:a16="http://schemas.microsoft.com/office/drawing/2014/main" id="{00000000-0008-0000-0200-00005F150200}"/>
              </a:ext>
            </a:extLst>
          </xdr:cNvPr>
          <xdr:cNvSpPr/>
        </xdr:nvSpPr>
        <xdr:spPr>
          <a:xfrm>
            <a:off x="431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44" name="QRD">
            <a:extLst>
              <a:ext uri="{FF2B5EF4-FFF2-40B4-BE49-F238E27FC236}">
                <a16:creationId xmlns:a16="http://schemas.microsoft.com/office/drawing/2014/main" id="{00000000-0008-0000-0200-000060150200}"/>
              </a:ext>
            </a:extLst>
          </xdr:cNvPr>
          <xdr:cNvSpPr/>
        </xdr:nvSpPr>
        <xdr:spPr>
          <a:xfrm>
            <a:off x="457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45" name="QRD">
            <a:extLst>
              <a:ext uri="{FF2B5EF4-FFF2-40B4-BE49-F238E27FC236}">
                <a16:creationId xmlns:a16="http://schemas.microsoft.com/office/drawing/2014/main" id="{00000000-0008-0000-0200-000061150200}"/>
              </a:ext>
            </a:extLst>
          </xdr:cNvPr>
          <xdr:cNvSpPr/>
        </xdr:nvSpPr>
        <xdr:spPr>
          <a:xfrm>
            <a:off x="4699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46" name="QRD">
            <a:extLst>
              <a:ext uri="{FF2B5EF4-FFF2-40B4-BE49-F238E27FC236}">
                <a16:creationId xmlns:a16="http://schemas.microsoft.com/office/drawing/2014/main" id="{00000000-0008-0000-0200-000062150200}"/>
              </a:ext>
            </a:extLst>
          </xdr:cNvPr>
          <xdr:cNvSpPr/>
        </xdr:nvSpPr>
        <xdr:spPr>
          <a:xfrm>
            <a:off x="4826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47" name="QRD">
            <a:extLst>
              <a:ext uri="{FF2B5EF4-FFF2-40B4-BE49-F238E27FC236}">
                <a16:creationId xmlns:a16="http://schemas.microsoft.com/office/drawing/2014/main" id="{00000000-0008-0000-0200-000063150200}"/>
              </a:ext>
            </a:extLst>
          </xdr:cNvPr>
          <xdr:cNvSpPr/>
        </xdr:nvSpPr>
        <xdr:spPr>
          <a:xfrm>
            <a:off x="508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48" name="QRD">
            <a:extLst>
              <a:ext uri="{FF2B5EF4-FFF2-40B4-BE49-F238E27FC236}">
                <a16:creationId xmlns:a16="http://schemas.microsoft.com/office/drawing/2014/main" id="{00000000-0008-0000-0200-00006415020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49" name="QRD">
            <a:extLst>
              <a:ext uri="{FF2B5EF4-FFF2-40B4-BE49-F238E27FC236}">
                <a16:creationId xmlns:a16="http://schemas.microsoft.com/office/drawing/2014/main" id="{00000000-0008-0000-0200-00006515020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50" name="QRD">
            <a:extLst>
              <a:ext uri="{FF2B5EF4-FFF2-40B4-BE49-F238E27FC236}">
                <a16:creationId xmlns:a16="http://schemas.microsoft.com/office/drawing/2014/main" id="{00000000-0008-0000-0200-00006615020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51" name="QRD">
            <a:extLst>
              <a:ext uri="{FF2B5EF4-FFF2-40B4-BE49-F238E27FC236}">
                <a16:creationId xmlns:a16="http://schemas.microsoft.com/office/drawing/2014/main" id="{00000000-0008-0000-0200-000067150200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52" name="QRD">
            <a:extLst>
              <a:ext uri="{FF2B5EF4-FFF2-40B4-BE49-F238E27FC236}">
                <a16:creationId xmlns:a16="http://schemas.microsoft.com/office/drawing/2014/main" id="{00000000-0008-0000-0200-00006815020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53" name="QRD">
            <a:extLst>
              <a:ext uri="{FF2B5EF4-FFF2-40B4-BE49-F238E27FC236}">
                <a16:creationId xmlns:a16="http://schemas.microsoft.com/office/drawing/2014/main" id="{00000000-0008-0000-0200-000069150200}"/>
              </a:ext>
            </a:extLst>
          </xdr:cNvPr>
          <xdr:cNvSpPr/>
        </xdr:nvSpPr>
        <xdr:spPr>
          <a:xfrm>
            <a:off x="101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54" name="QRD">
            <a:extLst>
              <a:ext uri="{FF2B5EF4-FFF2-40B4-BE49-F238E27FC236}">
                <a16:creationId xmlns:a16="http://schemas.microsoft.com/office/drawing/2014/main" id="{00000000-0008-0000-0200-00006A150200}"/>
              </a:ext>
            </a:extLst>
          </xdr:cNvPr>
          <xdr:cNvSpPr/>
        </xdr:nvSpPr>
        <xdr:spPr>
          <a:xfrm>
            <a:off x="177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55" name="QRD">
            <a:extLst>
              <a:ext uri="{FF2B5EF4-FFF2-40B4-BE49-F238E27FC236}">
                <a16:creationId xmlns:a16="http://schemas.microsoft.com/office/drawing/2014/main" id="{00000000-0008-0000-0200-00006B150200}"/>
              </a:ext>
            </a:extLst>
          </xdr:cNvPr>
          <xdr:cNvSpPr/>
        </xdr:nvSpPr>
        <xdr:spPr>
          <a:xfrm>
            <a:off x="1905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56" name="QRD">
            <a:extLst>
              <a:ext uri="{FF2B5EF4-FFF2-40B4-BE49-F238E27FC236}">
                <a16:creationId xmlns:a16="http://schemas.microsoft.com/office/drawing/2014/main" id="{00000000-0008-0000-0200-00006C150200}"/>
              </a:ext>
            </a:extLst>
          </xdr:cNvPr>
          <xdr:cNvSpPr/>
        </xdr:nvSpPr>
        <xdr:spPr>
          <a:xfrm>
            <a:off x="241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57" name="QRD">
            <a:extLst>
              <a:ext uri="{FF2B5EF4-FFF2-40B4-BE49-F238E27FC236}">
                <a16:creationId xmlns:a16="http://schemas.microsoft.com/office/drawing/2014/main" id="{00000000-0008-0000-0200-00006D150200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58" name="QRD">
            <a:extLst>
              <a:ext uri="{FF2B5EF4-FFF2-40B4-BE49-F238E27FC236}">
                <a16:creationId xmlns:a16="http://schemas.microsoft.com/office/drawing/2014/main" id="{00000000-0008-0000-0200-00006E150200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59" name="QRD">
            <a:extLst>
              <a:ext uri="{FF2B5EF4-FFF2-40B4-BE49-F238E27FC236}">
                <a16:creationId xmlns:a16="http://schemas.microsoft.com/office/drawing/2014/main" id="{00000000-0008-0000-0200-00006F150200}"/>
              </a:ext>
            </a:extLst>
          </xdr:cNvPr>
          <xdr:cNvSpPr/>
        </xdr:nvSpPr>
        <xdr:spPr>
          <a:xfrm>
            <a:off x="292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60" name="QRD">
            <a:extLst>
              <a:ext uri="{FF2B5EF4-FFF2-40B4-BE49-F238E27FC236}">
                <a16:creationId xmlns:a16="http://schemas.microsoft.com/office/drawing/2014/main" id="{00000000-0008-0000-0200-000070150200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61" name="QRD">
            <a:extLst>
              <a:ext uri="{FF2B5EF4-FFF2-40B4-BE49-F238E27FC236}">
                <a16:creationId xmlns:a16="http://schemas.microsoft.com/office/drawing/2014/main" id="{00000000-0008-0000-0200-000071150200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62" name="QRD">
            <a:extLst>
              <a:ext uri="{FF2B5EF4-FFF2-40B4-BE49-F238E27FC236}">
                <a16:creationId xmlns:a16="http://schemas.microsoft.com/office/drawing/2014/main" id="{00000000-0008-0000-0200-000072150200}"/>
              </a:ext>
            </a:extLst>
          </xdr:cNvPr>
          <xdr:cNvSpPr/>
        </xdr:nvSpPr>
        <xdr:spPr>
          <a:xfrm>
            <a:off x="381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63" name="QRD">
            <a:extLst>
              <a:ext uri="{FF2B5EF4-FFF2-40B4-BE49-F238E27FC236}">
                <a16:creationId xmlns:a16="http://schemas.microsoft.com/office/drawing/2014/main" id="{00000000-0008-0000-0200-000073150200}"/>
              </a:ext>
            </a:extLst>
          </xdr:cNvPr>
          <xdr:cNvSpPr/>
        </xdr:nvSpPr>
        <xdr:spPr>
          <a:xfrm>
            <a:off x="431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64" name="QRD">
            <a:extLst>
              <a:ext uri="{FF2B5EF4-FFF2-40B4-BE49-F238E27FC236}">
                <a16:creationId xmlns:a16="http://schemas.microsoft.com/office/drawing/2014/main" id="{00000000-0008-0000-0200-000074150200}"/>
              </a:ext>
            </a:extLst>
          </xdr:cNvPr>
          <xdr:cNvSpPr/>
        </xdr:nvSpPr>
        <xdr:spPr>
          <a:xfrm>
            <a:off x="457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65" name="QRD">
            <a:extLst>
              <a:ext uri="{FF2B5EF4-FFF2-40B4-BE49-F238E27FC236}">
                <a16:creationId xmlns:a16="http://schemas.microsoft.com/office/drawing/2014/main" id="{00000000-0008-0000-0200-000075150200}"/>
              </a:ext>
            </a:extLst>
          </xdr:cNvPr>
          <xdr:cNvSpPr/>
        </xdr:nvSpPr>
        <xdr:spPr>
          <a:xfrm>
            <a:off x="4699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66" name="QRD">
            <a:extLst>
              <a:ext uri="{FF2B5EF4-FFF2-40B4-BE49-F238E27FC236}">
                <a16:creationId xmlns:a16="http://schemas.microsoft.com/office/drawing/2014/main" id="{00000000-0008-0000-0200-000076150200}"/>
              </a:ext>
            </a:extLst>
          </xdr:cNvPr>
          <xdr:cNvSpPr/>
        </xdr:nvSpPr>
        <xdr:spPr>
          <a:xfrm>
            <a:off x="482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67" name="QRD">
            <a:extLst>
              <a:ext uri="{FF2B5EF4-FFF2-40B4-BE49-F238E27FC236}">
                <a16:creationId xmlns:a16="http://schemas.microsoft.com/office/drawing/2014/main" id="{00000000-0008-0000-0200-000077150200}"/>
              </a:ext>
            </a:extLst>
          </xdr:cNvPr>
          <xdr:cNvSpPr/>
        </xdr:nvSpPr>
        <xdr:spPr>
          <a:xfrm>
            <a:off x="508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68" name="QRD">
            <a:extLst>
              <a:ext uri="{FF2B5EF4-FFF2-40B4-BE49-F238E27FC236}">
                <a16:creationId xmlns:a16="http://schemas.microsoft.com/office/drawing/2014/main" id="{00000000-0008-0000-0200-000078150200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69" name="QRD">
            <a:extLst>
              <a:ext uri="{FF2B5EF4-FFF2-40B4-BE49-F238E27FC236}">
                <a16:creationId xmlns:a16="http://schemas.microsoft.com/office/drawing/2014/main" id="{00000000-0008-0000-0200-00007915020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70" name="QRD">
            <a:extLst>
              <a:ext uri="{FF2B5EF4-FFF2-40B4-BE49-F238E27FC236}">
                <a16:creationId xmlns:a16="http://schemas.microsoft.com/office/drawing/2014/main" id="{00000000-0008-0000-0200-00007A150200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71" name="QRD">
            <a:extLst>
              <a:ext uri="{FF2B5EF4-FFF2-40B4-BE49-F238E27FC236}">
                <a16:creationId xmlns:a16="http://schemas.microsoft.com/office/drawing/2014/main" id="{00000000-0008-0000-0200-00007B15020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72" name="QRD">
            <a:extLst>
              <a:ext uri="{FF2B5EF4-FFF2-40B4-BE49-F238E27FC236}">
                <a16:creationId xmlns:a16="http://schemas.microsoft.com/office/drawing/2014/main" id="{00000000-0008-0000-0200-00007C15020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73" name="QRD">
            <a:extLst>
              <a:ext uri="{FF2B5EF4-FFF2-40B4-BE49-F238E27FC236}">
                <a16:creationId xmlns:a16="http://schemas.microsoft.com/office/drawing/2014/main" id="{00000000-0008-0000-0200-00007D150200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74" name="QRD">
            <a:extLst>
              <a:ext uri="{FF2B5EF4-FFF2-40B4-BE49-F238E27FC236}">
                <a16:creationId xmlns:a16="http://schemas.microsoft.com/office/drawing/2014/main" id="{00000000-0008-0000-0200-00007E150200}"/>
              </a:ext>
            </a:extLst>
          </xdr:cNvPr>
          <xdr:cNvSpPr/>
        </xdr:nvSpPr>
        <xdr:spPr>
          <a:xfrm>
            <a:off x="1397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75" name="QRD">
            <a:extLst>
              <a:ext uri="{FF2B5EF4-FFF2-40B4-BE49-F238E27FC236}">
                <a16:creationId xmlns:a16="http://schemas.microsoft.com/office/drawing/2014/main" id="{00000000-0008-0000-0200-00007F150200}"/>
              </a:ext>
            </a:extLst>
          </xdr:cNvPr>
          <xdr:cNvSpPr/>
        </xdr:nvSpPr>
        <xdr:spPr>
          <a:xfrm>
            <a:off x="152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76" name="QRD">
            <a:extLst>
              <a:ext uri="{FF2B5EF4-FFF2-40B4-BE49-F238E27FC236}">
                <a16:creationId xmlns:a16="http://schemas.microsoft.com/office/drawing/2014/main" id="{00000000-0008-0000-0200-000080150200}"/>
              </a:ext>
            </a:extLst>
          </xdr:cNvPr>
          <xdr:cNvSpPr/>
        </xdr:nvSpPr>
        <xdr:spPr>
          <a:xfrm>
            <a:off x="165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77" name="QRD">
            <a:extLst>
              <a:ext uri="{FF2B5EF4-FFF2-40B4-BE49-F238E27FC236}">
                <a16:creationId xmlns:a16="http://schemas.microsoft.com/office/drawing/2014/main" id="{00000000-0008-0000-0200-000081150200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78" name="QRD">
            <a:extLst>
              <a:ext uri="{FF2B5EF4-FFF2-40B4-BE49-F238E27FC236}">
                <a16:creationId xmlns:a16="http://schemas.microsoft.com/office/drawing/2014/main" id="{00000000-0008-0000-0200-000082150200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79" name="QRD">
            <a:extLst>
              <a:ext uri="{FF2B5EF4-FFF2-40B4-BE49-F238E27FC236}">
                <a16:creationId xmlns:a16="http://schemas.microsoft.com/office/drawing/2014/main" id="{00000000-0008-0000-0200-000083150200}"/>
              </a:ext>
            </a:extLst>
          </xdr:cNvPr>
          <xdr:cNvSpPr/>
        </xdr:nvSpPr>
        <xdr:spPr>
          <a:xfrm>
            <a:off x="2667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80" name="QRD">
            <a:extLst>
              <a:ext uri="{FF2B5EF4-FFF2-40B4-BE49-F238E27FC236}">
                <a16:creationId xmlns:a16="http://schemas.microsoft.com/office/drawing/2014/main" id="{00000000-0008-0000-0200-000084150200}"/>
              </a:ext>
            </a:extLst>
          </xdr:cNvPr>
          <xdr:cNvSpPr/>
        </xdr:nvSpPr>
        <xdr:spPr>
          <a:xfrm>
            <a:off x="279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81" name="QRD">
            <a:extLst>
              <a:ext uri="{FF2B5EF4-FFF2-40B4-BE49-F238E27FC236}">
                <a16:creationId xmlns:a16="http://schemas.microsoft.com/office/drawing/2014/main" id="{00000000-0008-0000-0200-000085150200}"/>
              </a:ext>
            </a:extLst>
          </xdr:cNvPr>
          <xdr:cNvSpPr/>
        </xdr:nvSpPr>
        <xdr:spPr>
          <a:xfrm>
            <a:off x="292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82" name="QRD">
            <a:extLst>
              <a:ext uri="{FF2B5EF4-FFF2-40B4-BE49-F238E27FC236}">
                <a16:creationId xmlns:a16="http://schemas.microsoft.com/office/drawing/2014/main" id="{00000000-0008-0000-0200-000086150200}"/>
              </a:ext>
            </a:extLst>
          </xdr:cNvPr>
          <xdr:cNvSpPr/>
        </xdr:nvSpPr>
        <xdr:spPr>
          <a:xfrm>
            <a:off x="304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83" name="QRD">
            <a:extLst>
              <a:ext uri="{FF2B5EF4-FFF2-40B4-BE49-F238E27FC236}">
                <a16:creationId xmlns:a16="http://schemas.microsoft.com/office/drawing/2014/main" id="{00000000-0008-0000-0200-000087150200}"/>
              </a:ext>
            </a:extLst>
          </xdr:cNvPr>
          <xdr:cNvSpPr/>
        </xdr:nvSpPr>
        <xdr:spPr>
          <a:xfrm>
            <a:off x="3175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84" name="QRD">
            <a:extLst>
              <a:ext uri="{FF2B5EF4-FFF2-40B4-BE49-F238E27FC236}">
                <a16:creationId xmlns:a16="http://schemas.microsoft.com/office/drawing/2014/main" id="{00000000-0008-0000-0200-000088150200}"/>
              </a:ext>
            </a:extLst>
          </xdr:cNvPr>
          <xdr:cNvSpPr/>
        </xdr:nvSpPr>
        <xdr:spPr>
          <a:xfrm>
            <a:off x="3429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85" name="QRD">
            <a:extLst>
              <a:ext uri="{FF2B5EF4-FFF2-40B4-BE49-F238E27FC236}">
                <a16:creationId xmlns:a16="http://schemas.microsoft.com/office/drawing/2014/main" id="{00000000-0008-0000-0200-000089150200}"/>
              </a:ext>
            </a:extLst>
          </xdr:cNvPr>
          <xdr:cNvSpPr/>
        </xdr:nvSpPr>
        <xdr:spPr>
          <a:xfrm>
            <a:off x="381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86" name="QRD">
            <a:extLst>
              <a:ext uri="{FF2B5EF4-FFF2-40B4-BE49-F238E27FC236}">
                <a16:creationId xmlns:a16="http://schemas.microsoft.com/office/drawing/2014/main" id="{00000000-0008-0000-0200-00008A150200}"/>
              </a:ext>
            </a:extLst>
          </xdr:cNvPr>
          <xdr:cNvSpPr/>
        </xdr:nvSpPr>
        <xdr:spPr>
          <a:xfrm>
            <a:off x="431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87" name="QRD">
            <a:extLst>
              <a:ext uri="{FF2B5EF4-FFF2-40B4-BE49-F238E27FC236}">
                <a16:creationId xmlns:a16="http://schemas.microsoft.com/office/drawing/2014/main" id="{00000000-0008-0000-0200-00008B150200}"/>
              </a:ext>
            </a:extLst>
          </xdr:cNvPr>
          <xdr:cNvSpPr/>
        </xdr:nvSpPr>
        <xdr:spPr>
          <a:xfrm>
            <a:off x="457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88" name="QRD">
            <a:extLst>
              <a:ext uri="{FF2B5EF4-FFF2-40B4-BE49-F238E27FC236}">
                <a16:creationId xmlns:a16="http://schemas.microsoft.com/office/drawing/2014/main" id="{00000000-0008-0000-0200-00008C150200}"/>
              </a:ext>
            </a:extLst>
          </xdr:cNvPr>
          <xdr:cNvSpPr/>
        </xdr:nvSpPr>
        <xdr:spPr>
          <a:xfrm>
            <a:off x="4699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89" name="QRD">
            <a:extLst>
              <a:ext uri="{FF2B5EF4-FFF2-40B4-BE49-F238E27FC236}">
                <a16:creationId xmlns:a16="http://schemas.microsoft.com/office/drawing/2014/main" id="{00000000-0008-0000-0200-00008D150200}"/>
              </a:ext>
            </a:extLst>
          </xdr:cNvPr>
          <xdr:cNvSpPr/>
        </xdr:nvSpPr>
        <xdr:spPr>
          <a:xfrm>
            <a:off x="482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90" name="QRD">
            <a:extLst>
              <a:ext uri="{FF2B5EF4-FFF2-40B4-BE49-F238E27FC236}">
                <a16:creationId xmlns:a16="http://schemas.microsoft.com/office/drawing/2014/main" id="{00000000-0008-0000-0200-00008E150200}"/>
              </a:ext>
            </a:extLst>
          </xdr:cNvPr>
          <xdr:cNvSpPr/>
        </xdr:nvSpPr>
        <xdr:spPr>
          <a:xfrm>
            <a:off x="508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91" name="QRD">
            <a:extLst>
              <a:ext uri="{FF2B5EF4-FFF2-40B4-BE49-F238E27FC236}">
                <a16:creationId xmlns:a16="http://schemas.microsoft.com/office/drawing/2014/main" id="{00000000-0008-0000-0200-00008F15020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92" name="QRD">
            <a:extLst>
              <a:ext uri="{FF2B5EF4-FFF2-40B4-BE49-F238E27FC236}">
                <a16:creationId xmlns:a16="http://schemas.microsoft.com/office/drawing/2014/main" id="{00000000-0008-0000-0200-00009015020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93" name="QRD">
            <a:extLst>
              <a:ext uri="{FF2B5EF4-FFF2-40B4-BE49-F238E27FC236}">
                <a16:creationId xmlns:a16="http://schemas.microsoft.com/office/drawing/2014/main" id="{00000000-0008-0000-0200-000091150200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94" name="QRD">
            <a:extLst>
              <a:ext uri="{FF2B5EF4-FFF2-40B4-BE49-F238E27FC236}">
                <a16:creationId xmlns:a16="http://schemas.microsoft.com/office/drawing/2014/main" id="{00000000-0008-0000-0200-000092150200}"/>
              </a:ext>
            </a:extLst>
          </xdr:cNvPr>
          <xdr:cNvSpPr/>
        </xdr:nvSpPr>
        <xdr:spPr>
          <a:xfrm>
            <a:off x="1270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95" name="QRD">
            <a:extLst>
              <a:ext uri="{FF2B5EF4-FFF2-40B4-BE49-F238E27FC236}">
                <a16:creationId xmlns:a16="http://schemas.microsoft.com/office/drawing/2014/main" id="{00000000-0008-0000-0200-000093150200}"/>
              </a:ext>
            </a:extLst>
          </xdr:cNvPr>
          <xdr:cNvSpPr/>
        </xdr:nvSpPr>
        <xdr:spPr>
          <a:xfrm>
            <a:off x="152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96" name="QRD">
            <a:extLst>
              <a:ext uri="{FF2B5EF4-FFF2-40B4-BE49-F238E27FC236}">
                <a16:creationId xmlns:a16="http://schemas.microsoft.com/office/drawing/2014/main" id="{00000000-0008-0000-0200-000094150200}"/>
              </a:ext>
            </a:extLst>
          </xdr:cNvPr>
          <xdr:cNvSpPr/>
        </xdr:nvSpPr>
        <xdr:spPr>
          <a:xfrm>
            <a:off x="203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97" name="QRD">
            <a:extLst>
              <a:ext uri="{FF2B5EF4-FFF2-40B4-BE49-F238E27FC236}">
                <a16:creationId xmlns:a16="http://schemas.microsoft.com/office/drawing/2014/main" id="{00000000-0008-0000-0200-000095150200}"/>
              </a:ext>
            </a:extLst>
          </xdr:cNvPr>
          <xdr:cNvSpPr/>
        </xdr:nvSpPr>
        <xdr:spPr>
          <a:xfrm>
            <a:off x="2286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98" name="QRD">
            <a:extLst>
              <a:ext uri="{FF2B5EF4-FFF2-40B4-BE49-F238E27FC236}">
                <a16:creationId xmlns:a16="http://schemas.microsoft.com/office/drawing/2014/main" id="{00000000-0008-0000-0200-000096150200}"/>
              </a:ext>
            </a:extLst>
          </xdr:cNvPr>
          <xdr:cNvSpPr/>
        </xdr:nvSpPr>
        <xdr:spPr>
          <a:xfrm>
            <a:off x="2413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99" name="QRD">
            <a:extLst>
              <a:ext uri="{FF2B5EF4-FFF2-40B4-BE49-F238E27FC236}">
                <a16:creationId xmlns:a16="http://schemas.microsoft.com/office/drawing/2014/main" id="{00000000-0008-0000-0200-000097150200}"/>
              </a:ext>
            </a:extLst>
          </xdr:cNvPr>
          <xdr:cNvSpPr/>
        </xdr:nvSpPr>
        <xdr:spPr>
          <a:xfrm>
            <a:off x="2540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00" name="QRD">
            <a:extLst>
              <a:ext uri="{FF2B5EF4-FFF2-40B4-BE49-F238E27FC236}">
                <a16:creationId xmlns:a16="http://schemas.microsoft.com/office/drawing/2014/main" id="{00000000-0008-0000-0200-000098150200}"/>
              </a:ext>
            </a:extLst>
          </xdr:cNvPr>
          <xdr:cNvSpPr/>
        </xdr:nvSpPr>
        <xdr:spPr>
          <a:xfrm>
            <a:off x="266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01" name="QRD">
            <a:extLst>
              <a:ext uri="{FF2B5EF4-FFF2-40B4-BE49-F238E27FC236}">
                <a16:creationId xmlns:a16="http://schemas.microsoft.com/office/drawing/2014/main" id="{00000000-0008-0000-0200-000099150200}"/>
              </a:ext>
            </a:extLst>
          </xdr:cNvPr>
          <xdr:cNvSpPr/>
        </xdr:nvSpPr>
        <xdr:spPr>
          <a:xfrm>
            <a:off x="3810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02" name="QRD">
            <a:extLst>
              <a:ext uri="{FF2B5EF4-FFF2-40B4-BE49-F238E27FC236}">
                <a16:creationId xmlns:a16="http://schemas.microsoft.com/office/drawing/2014/main" id="{00000000-0008-0000-0200-00009A150200}"/>
              </a:ext>
            </a:extLst>
          </xdr:cNvPr>
          <xdr:cNvSpPr/>
        </xdr:nvSpPr>
        <xdr:spPr>
          <a:xfrm>
            <a:off x="393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03" name="QRD">
            <a:extLst>
              <a:ext uri="{FF2B5EF4-FFF2-40B4-BE49-F238E27FC236}">
                <a16:creationId xmlns:a16="http://schemas.microsoft.com/office/drawing/2014/main" id="{00000000-0008-0000-0200-00009B150200}"/>
              </a:ext>
            </a:extLst>
          </xdr:cNvPr>
          <xdr:cNvSpPr/>
        </xdr:nvSpPr>
        <xdr:spPr>
          <a:xfrm>
            <a:off x="4318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04" name="QRD">
            <a:extLst>
              <a:ext uri="{FF2B5EF4-FFF2-40B4-BE49-F238E27FC236}">
                <a16:creationId xmlns:a16="http://schemas.microsoft.com/office/drawing/2014/main" id="{00000000-0008-0000-0200-00009C150200}"/>
              </a:ext>
            </a:extLst>
          </xdr:cNvPr>
          <xdr:cNvSpPr/>
        </xdr:nvSpPr>
        <xdr:spPr>
          <a:xfrm>
            <a:off x="5080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05" name="QRD">
            <a:extLst>
              <a:ext uri="{FF2B5EF4-FFF2-40B4-BE49-F238E27FC236}">
                <a16:creationId xmlns:a16="http://schemas.microsoft.com/office/drawing/2014/main" id="{00000000-0008-0000-0200-00009D150200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06" name="QRD">
            <a:extLst>
              <a:ext uri="{FF2B5EF4-FFF2-40B4-BE49-F238E27FC236}">
                <a16:creationId xmlns:a16="http://schemas.microsoft.com/office/drawing/2014/main" id="{00000000-0008-0000-0200-00009E15020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07" name="QRD">
            <a:extLst>
              <a:ext uri="{FF2B5EF4-FFF2-40B4-BE49-F238E27FC236}">
                <a16:creationId xmlns:a16="http://schemas.microsoft.com/office/drawing/2014/main" id="{00000000-0008-0000-0200-00009F15020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08" name="QRD">
            <a:extLst>
              <a:ext uri="{FF2B5EF4-FFF2-40B4-BE49-F238E27FC236}">
                <a16:creationId xmlns:a16="http://schemas.microsoft.com/office/drawing/2014/main" id="{00000000-0008-0000-0200-0000A0150200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09" name="QRD">
            <a:extLst>
              <a:ext uri="{FF2B5EF4-FFF2-40B4-BE49-F238E27FC236}">
                <a16:creationId xmlns:a16="http://schemas.microsoft.com/office/drawing/2014/main" id="{00000000-0008-0000-0200-0000A115020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10" name="QRD">
            <a:extLst>
              <a:ext uri="{FF2B5EF4-FFF2-40B4-BE49-F238E27FC236}">
                <a16:creationId xmlns:a16="http://schemas.microsoft.com/office/drawing/2014/main" id="{00000000-0008-0000-0200-0000A2150200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11" name="QRD">
            <a:extLst>
              <a:ext uri="{FF2B5EF4-FFF2-40B4-BE49-F238E27FC236}">
                <a16:creationId xmlns:a16="http://schemas.microsoft.com/office/drawing/2014/main" id="{00000000-0008-0000-0200-0000A315020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12" name="QRD">
            <a:extLst>
              <a:ext uri="{FF2B5EF4-FFF2-40B4-BE49-F238E27FC236}">
                <a16:creationId xmlns:a16="http://schemas.microsoft.com/office/drawing/2014/main" id="{00000000-0008-0000-0200-0000A415020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13" name="QRD">
            <a:extLst>
              <a:ext uri="{FF2B5EF4-FFF2-40B4-BE49-F238E27FC236}">
                <a16:creationId xmlns:a16="http://schemas.microsoft.com/office/drawing/2014/main" id="{00000000-0008-0000-0200-0000A5150200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14" name="QRD">
            <a:extLst>
              <a:ext uri="{FF2B5EF4-FFF2-40B4-BE49-F238E27FC236}">
                <a16:creationId xmlns:a16="http://schemas.microsoft.com/office/drawing/2014/main" id="{00000000-0008-0000-0200-0000A615020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15" name="QRD">
            <a:extLst>
              <a:ext uri="{FF2B5EF4-FFF2-40B4-BE49-F238E27FC236}">
                <a16:creationId xmlns:a16="http://schemas.microsoft.com/office/drawing/2014/main" id="{00000000-0008-0000-0200-0000A715020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16" name="QRD">
            <a:extLst>
              <a:ext uri="{FF2B5EF4-FFF2-40B4-BE49-F238E27FC236}">
                <a16:creationId xmlns:a16="http://schemas.microsoft.com/office/drawing/2014/main" id="{00000000-0008-0000-0200-0000A815020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17" name="QRD">
            <a:extLst>
              <a:ext uri="{FF2B5EF4-FFF2-40B4-BE49-F238E27FC236}">
                <a16:creationId xmlns:a16="http://schemas.microsoft.com/office/drawing/2014/main" id="{00000000-0008-0000-0200-0000A915020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18" name="QRD">
            <a:extLst>
              <a:ext uri="{FF2B5EF4-FFF2-40B4-BE49-F238E27FC236}">
                <a16:creationId xmlns:a16="http://schemas.microsoft.com/office/drawing/2014/main" id="{00000000-0008-0000-0200-0000AA150200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19" name="QRD">
            <a:extLst>
              <a:ext uri="{FF2B5EF4-FFF2-40B4-BE49-F238E27FC236}">
                <a16:creationId xmlns:a16="http://schemas.microsoft.com/office/drawing/2014/main" id="{00000000-0008-0000-0200-0000AB150200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20" name="QRD">
            <a:extLst>
              <a:ext uri="{FF2B5EF4-FFF2-40B4-BE49-F238E27FC236}">
                <a16:creationId xmlns:a16="http://schemas.microsoft.com/office/drawing/2014/main" id="{00000000-0008-0000-0200-0000AC150200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21" name="QRD">
            <a:extLst>
              <a:ext uri="{FF2B5EF4-FFF2-40B4-BE49-F238E27FC236}">
                <a16:creationId xmlns:a16="http://schemas.microsoft.com/office/drawing/2014/main" id="{00000000-0008-0000-0200-0000AD150200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22" name="QRD">
            <a:extLst>
              <a:ext uri="{FF2B5EF4-FFF2-40B4-BE49-F238E27FC236}">
                <a16:creationId xmlns:a16="http://schemas.microsoft.com/office/drawing/2014/main" id="{00000000-0008-0000-0200-0000AE150200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23" name="QRD">
            <a:extLst>
              <a:ext uri="{FF2B5EF4-FFF2-40B4-BE49-F238E27FC236}">
                <a16:creationId xmlns:a16="http://schemas.microsoft.com/office/drawing/2014/main" id="{00000000-0008-0000-0200-0000AF150200}"/>
              </a:ext>
            </a:extLst>
          </xdr:cNvPr>
          <xdr:cNvSpPr/>
        </xdr:nvSpPr>
        <xdr:spPr>
          <a:xfrm>
            <a:off x="381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24" name="QRD">
            <a:extLst>
              <a:ext uri="{FF2B5EF4-FFF2-40B4-BE49-F238E27FC236}">
                <a16:creationId xmlns:a16="http://schemas.microsoft.com/office/drawing/2014/main" id="{00000000-0008-0000-0200-0000B0150200}"/>
              </a:ext>
            </a:extLst>
          </xdr:cNvPr>
          <xdr:cNvSpPr/>
        </xdr:nvSpPr>
        <xdr:spPr>
          <a:xfrm>
            <a:off x="406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25" name="QRD">
            <a:extLst>
              <a:ext uri="{FF2B5EF4-FFF2-40B4-BE49-F238E27FC236}">
                <a16:creationId xmlns:a16="http://schemas.microsoft.com/office/drawing/2014/main" id="{00000000-0008-0000-0200-0000B1150200}"/>
              </a:ext>
            </a:extLst>
          </xdr:cNvPr>
          <xdr:cNvSpPr/>
        </xdr:nvSpPr>
        <xdr:spPr>
          <a:xfrm>
            <a:off x="431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26" name="QRD">
            <a:extLst>
              <a:ext uri="{FF2B5EF4-FFF2-40B4-BE49-F238E27FC236}">
                <a16:creationId xmlns:a16="http://schemas.microsoft.com/office/drawing/2014/main" id="{00000000-0008-0000-0200-0000B2150200}"/>
              </a:ext>
            </a:extLst>
          </xdr:cNvPr>
          <xdr:cNvSpPr/>
        </xdr:nvSpPr>
        <xdr:spPr>
          <a:xfrm>
            <a:off x="444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27" name="QRD">
            <a:extLst>
              <a:ext uri="{FF2B5EF4-FFF2-40B4-BE49-F238E27FC236}">
                <a16:creationId xmlns:a16="http://schemas.microsoft.com/office/drawing/2014/main" id="{00000000-0008-0000-0200-0000B3150200}"/>
              </a:ext>
            </a:extLst>
          </xdr:cNvPr>
          <xdr:cNvSpPr/>
        </xdr:nvSpPr>
        <xdr:spPr>
          <a:xfrm>
            <a:off x="457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28" name="QRD">
            <a:extLst>
              <a:ext uri="{FF2B5EF4-FFF2-40B4-BE49-F238E27FC236}">
                <a16:creationId xmlns:a16="http://schemas.microsoft.com/office/drawing/2014/main" id="{00000000-0008-0000-0200-0000B4150200}"/>
              </a:ext>
            </a:extLst>
          </xdr:cNvPr>
          <xdr:cNvSpPr/>
        </xdr:nvSpPr>
        <xdr:spPr>
          <a:xfrm>
            <a:off x="4699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29" name="QRD">
            <a:extLst>
              <a:ext uri="{FF2B5EF4-FFF2-40B4-BE49-F238E27FC236}">
                <a16:creationId xmlns:a16="http://schemas.microsoft.com/office/drawing/2014/main" id="{00000000-0008-0000-0200-0000B5150200}"/>
              </a:ext>
            </a:extLst>
          </xdr:cNvPr>
          <xdr:cNvSpPr/>
        </xdr:nvSpPr>
        <xdr:spPr>
          <a:xfrm>
            <a:off x="482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30" name="QRD">
            <a:extLst>
              <a:ext uri="{FF2B5EF4-FFF2-40B4-BE49-F238E27FC236}">
                <a16:creationId xmlns:a16="http://schemas.microsoft.com/office/drawing/2014/main" id="{00000000-0008-0000-0200-0000B6150200}"/>
              </a:ext>
            </a:extLst>
          </xdr:cNvPr>
          <xdr:cNvSpPr/>
        </xdr:nvSpPr>
        <xdr:spPr>
          <a:xfrm>
            <a:off x="4953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31" name="QRD">
            <a:extLst>
              <a:ext uri="{FF2B5EF4-FFF2-40B4-BE49-F238E27FC236}">
                <a16:creationId xmlns:a16="http://schemas.microsoft.com/office/drawing/2014/main" id="{00000000-0008-0000-0200-0000B7150200}"/>
              </a:ext>
            </a:extLst>
          </xdr:cNvPr>
          <xdr:cNvSpPr/>
        </xdr:nvSpPr>
        <xdr:spPr>
          <a:xfrm>
            <a:off x="508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32" name="QRD">
            <a:extLst>
              <a:ext uri="{FF2B5EF4-FFF2-40B4-BE49-F238E27FC236}">
                <a16:creationId xmlns:a16="http://schemas.microsoft.com/office/drawing/2014/main" id="{00000000-0008-0000-0200-0000B8150200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33" name="QRD">
            <a:extLst>
              <a:ext uri="{FF2B5EF4-FFF2-40B4-BE49-F238E27FC236}">
                <a16:creationId xmlns:a16="http://schemas.microsoft.com/office/drawing/2014/main" id="{00000000-0008-0000-0200-0000B9150200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34" name="QRD">
            <a:extLst>
              <a:ext uri="{FF2B5EF4-FFF2-40B4-BE49-F238E27FC236}">
                <a16:creationId xmlns:a16="http://schemas.microsoft.com/office/drawing/2014/main" id="{00000000-0008-0000-0200-0000BA150200}"/>
              </a:ext>
            </a:extLst>
          </xdr:cNvPr>
          <xdr:cNvSpPr/>
        </xdr:nvSpPr>
        <xdr:spPr>
          <a:xfrm>
            <a:off x="1778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35" name="QRD">
            <a:extLst>
              <a:ext uri="{FF2B5EF4-FFF2-40B4-BE49-F238E27FC236}">
                <a16:creationId xmlns:a16="http://schemas.microsoft.com/office/drawing/2014/main" id="{00000000-0008-0000-0200-0000BB150200}"/>
              </a:ext>
            </a:extLst>
          </xdr:cNvPr>
          <xdr:cNvSpPr/>
        </xdr:nvSpPr>
        <xdr:spPr>
          <a:xfrm>
            <a:off x="1905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36" name="QRD">
            <a:extLst>
              <a:ext uri="{FF2B5EF4-FFF2-40B4-BE49-F238E27FC236}">
                <a16:creationId xmlns:a16="http://schemas.microsoft.com/office/drawing/2014/main" id="{00000000-0008-0000-0200-0000BC150200}"/>
              </a:ext>
            </a:extLst>
          </xdr:cNvPr>
          <xdr:cNvSpPr/>
        </xdr:nvSpPr>
        <xdr:spPr>
          <a:xfrm>
            <a:off x="2032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37" name="QRD">
            <a:extLst>
              <a:ext uri="{FF2B5EF4-FFF2-40B4-BE49-F238E27FC236}">
                <a16:creationId xmlns:a16="http://schemas.microsoft.com/office/drawing/2014/main" id="{00000000-0008-0000-0200-0000BD150200}"/>
              </a:ext>
            </a:extLst>
          </xdr:cNvPr>
          <xdr:cNvSpPr/>
        </xdr:nvSpPr>
        <xdr:spPr>
          <a:xfrm>
            <a:off x="2159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38" name="QRD">
            <a:extLst>
              <a:ext uri="{FF2B5EF4-FFF2-40B4-BE49-F238E27FC236}">
                <a16:creationId xmlns:a16="http://schemas.microsoft.com/office/drawing/2014/main" id="{00000000-0008-0000-0200-0000BE150200}"/>
              </a:ext>
            </a:extLst>
          </xdr:cNvPr>
          <xdr:cNvSpPr/>
        </xdr:nvSpPr>
        <xdr:spPr>
          <a:xfrm>
            <a:off x="2413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39" name="QRD">
            <a:extLst>
              <a:ext uri="{FF2B5EF4-FFF2-40B4-BE49-F238E27FC236}">
                <a16:creationId xmlns:a16="http://schemas.microsoft.com/office/drawing/2014/main" id="{00000000-0008-0000-0200-0000BF150200}"/>
              </a:ext>
            </a:extLst>
          </xdr:cNvPr>
          <xdr:cNvSpPr/>
        </xdr:nvSpPr>
        <xdr:spPr>
          <a:xfrm>
            <a:off x="2540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40" name="QRD">
            <a:extLst>
              <a:ext uri="{FF2B5EF4-FFF2-40B4-BE49-F238E27FC236}">
                <a16:creationId xmlns:a16="http://schemas.microsoft.com/office/drawing/2014/main" id="{00000000-0008-0000-0200-0000C0150200}"/>
              </a:ext>
            </a:extLst>
          </xdr:cNvPr>
          <xdr:cNvSpPr/>
        </xdr:nvSpPr>
        <xdr:spPr>
          <a:xfrm>
            <a:off x="266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41" name="QRD">
            <a:extLst>
              <a:ext uri="{FF2B5EF4-FFF2-40B4-BE49-F238E27FC236}">
                <a16:creationId xmlns:a16="http://schemas.microsoft.com/office/drawing/2014/main" id="{00000000-0008-0000-0200-0000C1150200}"/>
              </a:ext>
            </a:extLst>
          </xdr:cNvPr>
          <xdr:cNvSpPr/>
        </xdr:nvSpPr>
        <xdr:spPr>
          <a:xfrm>
            <a:off x="2921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42" name="QRD">
            <a:extLst>
              <a:ext uri="{FF2B5EF4-FFF2-40B4-BE49-F238E27FC236}">
                <a16:creationId xmlns:a16="http://schemas.microsoft.com/office/drawing/2014/main" id="{00000000-0008-0000-0200-0000C2150200}"/>
              </a:ext>
            </a:extLst>
          </xdr:cNvPr>
          <xdr:cNvSpPr/>
        </xdr:nvSpPr>
        <xdr:spPr>
          <a:xfrm>
            <a:off x="3048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43" name="QRD">
            <a:extLst>
              <a:ext uri="{FF2B5EF4-FFF2-40B4-BE49-F238E27FC236}">
                <a16:creationId xmlns:a16="http://schemas.microsoft.com/office/drawing/2014/main" id="{00000000-0008-0000-0200-0000C3150200}"/>
              </a:ext>
            </a:extLst>
          </xdr:cNvPr>
          <xdr:cNvSpPr/>
        </xdr:nvSpPr>
        <xdr:spPr>
          <a:xfrm>
            <a:off x="3302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44" name="QRD">
            <a:extLst>
              <a:ext uri="{FF2B5EF4-FFF2-40B4-BE49-F238E27FC236}">
                <a16:creationId xmlns:a16="http://schemas.microsoft.com/office/drawing/2014/main" id="{00000000-0008-0000-0200-0000C4150200}"/>
              </a:ext>
            </a:extLst>
          </xdr:cNvPr>
          <xdr:cNvSpPr/>
        </xdr:nvSpPr>
        <xdr:spPr>
          <a:xfrm>
            <a:off x="3429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45" name="QRD">
            <a:extLst>
              <a:ext uri="{FF2B5EF4-FFF2-40B4-BE49-F238E27FC236}">
                <a16:creationId xmlns:a16="http://schemas.microsoft.com/office/drawing/2014/main" id="{00000000-0008-0000-0200-0000C5150200}"/>
              </a:ext>
            </a:extLst>
          </xdr:cNvPr>
          <xdr:cNvSpPr/>
        </xdr:nvSpPr>
        <xdr:spPr>
          <a:xfrm>
            <a:off x="3556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46" name="QRD">
            <a:extLst>
              <a:ext uri="{FF2B5EF4-FFF2-40B4-BE49-F238E27FC236}">
                <a16:creationId xmlns:a16="http://schemas.microsoft.com/office/drawing/2014/main" id="{00000000-0008-0000-0200-0000C6150200}"/>
              </a:ext>
            </a:extLst>
          </xdr:cNvPr>
          <xdr:cNvSpPr/>
        </xdr:nvSpPr>
        <xdr:spPr>
          <a:xfrm>
            <a:off x="3683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47" name="QRD">
            <a:extLst>
              <a:ext uri="{FF2B5EF4-FFF2-40B4-BE49-F238E27FC236}">
                <a16:creationId xmlns:a16="http://schemas.microsoft.com/office/drawing/2014/main" id="{00000000-0008-0000-0200-0000C7150200}"/>
              </a:ext>
            </a:extLst>
          </xdr:cNvPr>
          <xdr:cNvSpPr/>
        </xdr:nvSpPr>
        <xdr:spPr>
          <a:xfrm>
            <a:off x="4064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48" name="QRD">
            <a:extLst>
              <a:ext uri="{FF2B5EF4-FFF2-40B4-BE49-F238E27FC236}">
                <a16:creationId xmlns:a16="http://schemas.microsoft.com/office/drawing/2014/main" id="{00000000-0008-0000-0200-0000C8150200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49" name="QRD">
            <a:extLst>
              <a:ext uri="{FF2B5EF4-FFF2-40B4-BE49-F238E27FC236}">
                <a16:creationId xmlns:a16="http://schemas.microsoft.com/office/drawing/2014/main" id="{00000000-0008-0000-0200-0000C9150200}"/>
              </a:ext>
            </a:extLst>
          </xdr:cNvPr>
          <xdr:cNvSpPr/>
        </xdr:nvSpPr>
        <xdr:spPr>
          <a:xfrm>
            <a:off x="12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50" name="QRD">
            <a:extLst>
              <a:ext uri="{FF2B5EF4-FFF2-40B4-BE49-F238E27FC236}">
                <a16:creationId xmlns:a16="http://schemas.microsoft.com/office/drawing/2014/main" id="{00000000-0008-0000-0200-0000CA150200}"/>
              </a:ext>
            </a:extLst>
          </xdr:cNvPr>
          <xdr:cNvSpPr/>
        </xdr:nvSpPr>
        <xdr:spPr>
          <a:xfrm>
            <a:off x="50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51" name="QRD">
            <a:extLst>
              <a:ext uri="{FF2B5EF4-FFF2-40B4-BE49-F238E27FC236}">
                <a16:creationId xmlns:a16="http://schemas.microsoft.com/office/drawing/2014/main" id="{00000000-0008-0000-0200-0000CB150200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52" name="QRD">
            <a:extLst>
              <a:ext uri="{FF2B5EF4-FFF2-40B4-BE49-F238E27FC236}">
                <a16:creationId xmlns:a16="http://schemas.microsoft.com/office/drawing/2014/main" id="{00000000-0008-0000-0200-0000CC15020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53" name="QRD">
            <a:extLst>
              <a:ext uri="{FF2B5EF4-FFF2-40B4-BE49-F238E27FC236}">
                <a16:creationId xmlns:a16="http://schemas.microsoft.com/office/drawing/2014/main" id="{00000000-0008-0000-0200-0000CD150200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54" name="QRD">
            <a:extLst>
              <a:ext uri="{FF2B5EF4-FFF2-40B4-BE49-F238E27FC236}">
                <a16:creationId xmlns:a16="http://schemas.microsoft.com/office/drawing/2014/main" id="{00000000-0008-0000-0200-0000CE150200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55" name="QRD">
            <a:extLst>
              <a:ext uri="{FF2B5EF4-FFF2-40B4-BE49-F238E27FC236}">
                <a16:creationId xmlns:a16="http://schemas.microsoft.com/office/drawing/2014/main" id="{00000000-0008-0000-0200-0000CF150200}"/>
              </a:ext>
            </a:extLst>
          </xdr:cNvPr>
          <xdr:cNvSpPr/>
        </xdr:nvSpPr>
        <xdr:spPr>
          <a:xfrm>
            <a:off x="139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56" name="QRD">
            <a:extLst>
              <a:ext uri="{FF2B5EF4-FFF2-40B4-BE49-F238E27FC236}">
                <a16:creationId xmlns:a16="http://schemas.microsoft.com/office/drawing/2014/main" id="{00000000-0008-0000-0200-0000D0150200}"/>
              </a:ext>
            </a:extLst>
          </xdr:cNvPr>
          <xdr:cNvSpPr/>
        </xdr:nvSpPr>
        <xdr:spPr>
          <a:xfrm>
            <a:off x="177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57" name="QRD">
            <a:extLst>
              <a:ext uri="{FF2B5EF4-FFF2-40B4-BE49-F238E27FC236}">
                <a16:creationId xmlns:a16="http://schemas.microsoft.com/office/drawing/2014/main" id="{00000000-0008-0000-0200-0000D115020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58" name="QRD">
            <a:extLst>
              <a:ext uri="{FF2B5EF4-FFF2-40B4-BE49-F238E27FC236}">
                <a16:creationId xmlns:a16="http://schemas.microsoft.com/office/drawing/2014/main" id="{00000000-0008-0000-0200-0000D2150200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59" name="QRD">
            <a:extLst>
              <a:ext uri="{FF2B5EF4-FFF2-40B4-BE49-F238E27FC236}">
                <a16:creationId xmlns:a16="http://schemas.microsoft.com/office/drawing/2014/main" id="{00000000-0008-0000-0200-0000D3150200}"/>
              </a:ext>
            </a:extLst>
          </xdr:cNvPr>
          <xdr:cNvSpPr/>
        </xdr:nvSpPr>
        <xdr:spPr>
          <a:xfrm>
            <a:off x="2286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60" name="QRD">
            <a:extLst>
              <a:ext uri="{FF2B5EF4-FFF2-40B4-BE49-F238E27FC236}">
                <a16:creationId xmlns:a16="http://schemas.microsoft.com/office/drawing/2014/main" id="{00000000-0008-0000-0200-0000D4150200}"/>
              </a:ext>
            </a:extLst>
          </xdr:cNvPr>
          <xdr:cNvSpPr/>
        </xdr:nvSpPr>
        <xdr:spPr>
          <a:xfrm>
            <a:off x="241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61" name="QRD">
            <a:extLst>
              <a:ext uri="{FF2B5EF4-FFF2-40B4-BE49-F238E27FC236}">
                <a16:creationId xmlns:a16="http://schemas.microsoft.com/office/drawing/2014/main" id="{00000000-0008-0000-0200-0000D5150200}"/>
              </a:ext>
            </a:extLst>
          </xdr:cNvPr>
          <xdr:cNvSpPr/>
        </xdr:nvSpPr>
        <xdr:spPr>
          <a:xfrm>
            <a:off x="266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62" name="QRD">
            <a:extLst>
              <a:ext uri="{FF2B5EF4-FFF2-40B4-BE49-F238E27FC236}">
                <a16:creationId xmlns:a16="http://schemas.microsoft.com/office/drawing/2014/main" id="{00000000-0008-0000-0200-0000D6150200}"/>
              </a:ext>
            </a:extLst>
          </xdr:cNvPr>
          <xdr:cNvSpPr/>
        </xdr:nvSpPr>
        <xdr:spPr>
          <a:xfrm>
            <a:off x="330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63" name="QRD">
            <a:extLst>
              <a:ext uri="{FF2B5EF4-FFF2-40B4-BE49-F238E27FC236}">
                <a16:creationId xmlns:a16="http://schemas.microsoft.com/office/drawing/2014/main" id="{00000000-0008-0000-0200-0000D7150200}"/>
              </a:ext>
            </a:extLst>
          </xdr:cNvPr>
          <xdr:cNvSpPr/>
        </xdr:nvSpPr>
        <xdr:spPr>
          <a:xfrm>
            <a:off x="368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64" name="QRD">
            <a:extLst>
              <a:ext uri="{FF2B5EF4-FFF2-40B4-BE49-F238E27FC236}">
                <a16:creationId xmlns:a16="http://schemas.microsoft.com/office/drawing/2014/main" id="{00000000-0008-0000-0200-0000D8150200}"/>
              </a:ext>
            </a:extLst>
          </xdr:cNvPr>
          <xdr:cNvSpPr/>
        </xdr:nvSpPr>
        <xdr:spPr>
          <a:xfrm>
            <a:off x="3810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65" name="QRD">
            <a:extLst>
              <a:ext uri="{FF2B5EF4-FFF2-40B4-BE49-F238E27FC236}">
                <a16:creationId xmlns:a16="http://schemas.microsoft.com/office/drawing/2014/main" id="{00000000-0008-0000-0200-0000D9150200}"/>
              </a:ext>
            </a:extLst>
          </xdr:cNvPr>
          <xdr:cNvSpPr/>
        </xdr:nvSpPr>
        <xdr:spPr>
          <a:xfrm>
            <a:off x="393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66" name="QRD">
            <a:extLst>
              <a:ext uri="{FF2B5EF4-FFF2-40B4-BE49-F238E27FC236}">
                <a16:creationId xmlns:a16="http://schemas.microsoft.com/office/drawing/2014/main" id="{00000000-0008-0000-0200-0000DA150200}"/>
              </a:ext>
            </a:extLst>
          </xdr:cNvPr>
          <xdr:cNvSpPr/>
        </xdr:nvSpPr>
        <xdr:spPr>
          <a:xfrm>
            <a:off x="444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67" name="QRD">
            <a:extLst>
              <a:ext uri="{FF2B5EF4-FFF2-40B4-BE49-F238E27FC236}">
                <a16:creationId xmlns:a16="http://schemas.microsoft.com/office/drawing/2014/main" id="{00000000-0008-0000-0200-0000DB150200}"/>
              </a:ext>
            </a:extLst>
          </xdr:cNvPr>
          <xdr:cNvSpPr/>
        </xdr:nvSpPr>
        <xdr:spPr>
          <a:xfrm>
            <a:off x="469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68" name="QRD">
            <a:extLst>
              <a:ext uri="{FF2B5EF4-FFF2-40B4-BE49-F238E27FC236}">
                <a16:creationId xmlns:a16="http://schemas.microsoft.com/office/drawing/2014/main" id="{00000000-0008-0000-0200-0000DC150200}"/>
              </a:ext>
            </a:extLst>
          </xdr:cNvPr>
          <xdr:cNvSpPr/>
        </xdr:nvSpPr>
        <xdr:spPr>
          <a:xfrm>
            <a:off x="4826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69" name="QRD">
            <a:extLst>
              <a:ext uri="{FF2B5EF4-FFF2-40B4-BE49-F238E27FC236}">
                <a16:creationId xmlns:a16="http://schemas.microsoft.com/office/drawing/2014/main" id="{00000000-0008-0000-0200-0000DD150200}"/>
              </a:ext>
            </a:extLst>
          </xdr:cNvPr>
          <xdr:cNvSpPr/>
        </xdr:nvSpPr>
        <xdr:spPr>
          <a:xfrm>
            <a:off x="495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70" name="QRD">
            <a:extLst>
              <a:ext uri="{FF2B5EF4-FFF2-40B4-BE49-F238E27FC236}">
                <a16:creationId xmlns:a16="http://schemas.microsoft.com/office/drawing/2014/main" id="{00000000-0008-0000-0200-0000DE150200}"/>
              </a:ext>
            </a:extLst>
          </xdr:cNvPr>
          <xdr:cNvSpPr/>
        </xdr:nvSpPr>
        <xdr:spPr>
          <a:xfrm>
            <a:off x="5080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71" name="QRD">
            <a:extLst>
              <a:ext uri="{FF2B5EF4-FFF2-40B4-BE49-F238E27FC236}">
                <a16:creationId xmlns:a16="http://schemas.microsoft.com/office/drawing/2014/main" id="{00000000-0008-0000-0200-0000DF150200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72" name="QRD">
            <a:extLst>
              <a:ext uri="{FF2B5EF4-FFF2-40B4-BE49-F238E27FC236}">
                <a16:creationId xmlns:a16="http://schemas.microsoft.com/office/drawing/2014/main" id="{00000000-0008-0000-0200-0000E0150200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73" name="QRD">
            <a:extLst>
              <a:ext uri="{FF2B5EF4-FFF2-40B4-BE49-F238E27FC236}">
                <a16:creationId xmlns:a16="http://schemas.microsoft.com/office/drawing/2014/main" id="{00000000-0008-0000-0200-0000E1150200}"/>
              </a:ext>
            </a:extLst>
          </xdr:cNvPr>
          <xdr:cNvSpPr/>
        </xdr:nvSpPr>
        <xdr:spPr>
          <a:xfrm>
            <a:off x="101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74" name="QRD">
            <a:extLst>
              <a:ext uri="{FF2B5EF4-FFF2-40B4-BE49-F238E27FC236}">
                <a16:creationId xmlns:a16="http://schemas.microsoft.com/office/drawing/2014/main" id="{00000000-0008-0000-0200-0000E2150200}"/>
              </a:ext>
            </a:extLst>
          </xdr:cNvPr>
          <xdr:cNvSpPr/>
        </xdr:nvSpPr>
        <xdr:spPr>
          <a:xfrm>
            <a:off x="139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75" name="QRD">
            <a:extLst>
              <a:ext uri="{FF2B5EF4-FFF2-40B4-BE49-F238E27FC236}">
                <a16:creationId xmlns:a16="http://schemas.microsoft.com/office/drawing/2014/main" id="{00000000-0008-0000-0200-0000E3150200}"/>
              </a:ext>
            </a:extLst>
          </xdr:cNvPr>
          <xdr:cNvSpPr/>
        </xdr:nvSpPr>
        <xdr:spPr>
          <a:xfrm>
            <a:off x="152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76" name="QRD">
            <a:extLst>
              <a:ext uri="{FF2B5EF4-FFF2-40B4-BE49-F238E27FC236}">
                <a16:creationId xmlns:a16="http://schemas.microsoft.com/office/drawing/2014/main" id="{00000000-0008-0000-0200-0000E4150200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77" name="QRD">
            <a:extLst>
              <a:ext uri="{FF2B5EF4-FFF2-40B4-BE49-F238E27FC236}">
                <a16:creationId xmlns:a16="http://schemas.microsoft.com/office/drawing/2014/main" id="{00000000-0008-0000-0200-0000E5150200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78" name="QRD">
            <a:extLst>
              <a:ext uri="{FF2B5EF4-FFF2-40B4-BE49-F238E27FC236}">
                <a16:creationId xmlns:a16="http://schemas.microsoft.com/office/drawing/2014/main" id="{00000000-0008-0000-0200-0000E6150200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79" name="QRD">
            <a:extLst>
              <a:ext uri="{FF2B5EF4-FFF2-40B4-BE49-F238E27FC236}">
                <a16:creationId xmlns:a16="http://schemas.microsoft.com/office/drawing/2014/main" id="{00000000-0008-0000-0200-0000E7150200}"/>
              </a:ext>
            </a:extLst>
          </xdr:cNvPr>
          <xdr:cNvSpPr/>
        </xdr:nvSpPr>
        <xdr:spPr>
          <a:xfrm>
            <a:off x="279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80" name="QRD">
            <a:extLst>
              <a:ext uri="{FF2B5EF4-FFF2-40B4-BE49-F238E27FC236}">
                <a16:creationId xmlns:a16="http://schemas.microsoft.com/office/drawing/2014/main" id="{00000000-0008-0000-0200-0000E8150200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81" name="QRD">
            <a:extLst>
              <a:ext uri="{FF2B5EF4-FFF2-40B4-BE49-F238E27FC236}">
                <a16:creationId xmlns:a16="http://schemas.microsoft.com/office/drawing/2014/main" id="{00000000-0008-0000-0200-0000E9150200}"/>
              </a:ext>
            </a:extLst>
          </xdr:cNvPr>
          <xdr:cNvSpPr/>
        </xdr:nvSpPr>
        <xdr:spPr>
          <a:xfrm>
            <a:off x="3048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82" name="QRD">
            <a:extLst>
              <a:ext uri="{FF2B5EF4-FFF2-40B4-BE49-F238E27FC236}">
                <a16:creationId xmlns:a16="http://schemas.microsoft.com/office/drawing/2014/main" id="{00000000-0008-0000-0200-0000EA150200}"/>
              </a:ext>
            </a:extLst>
          </xdr:cNvPr>
          <xdr:cNvSpPr/>
        </xdr:nvSpPr>
        <xdr:spPr>
          <a:xfrm>
            <a:off x="3175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83" name="QRD">
            <a:extLst>
              <a:ext uri="{FF2B5EF4-FFF2-40B4-BE49-F238E27FC236}">
                <a16:creationId xmlns:a16="http://schemas.microsoft.com/office/drawing/2014/main" id="{00000000-0008-0000-0200-0000EB150200}"/>
              </a:ext>
            </a:extLst>
          </xdr:cNvPr>
          <xdr:cNvSpPr/>
        </xdr:nvSpPr>
        <xdr:spPr>
          <a:xfrm>
            <a:off x="355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84" name="QRD">
            <a:extLst>
              <a:ext uri="{FF2B5EF4-FFF2-40B4-BE49-F238E27FC236}">
                <a16:creationId xmlns:a16="http://schemas.microsoft.com/office/drawing/2014/main" id="{00000000-0008-0000-0200-0000EC150200}"/>
              </a:ext>
            </a:extLst>
          </xdr:cNvPr>
          <xdr:cNvSpPr/>
        </xdr:nvSpPr>
        <xdr:spPr>
          <a:xfrm>
            <a:off x="406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85" name="QRD">
            <a:extLst>
              <a:ext uri="{FF2B5EF4-FFF2-40B4-BE49-F238E27FC236}">
                <a16:creationId xmlns:a16="http://schemas.microsoft.com/office/drawing/2014/main" id="{00000000-0008-0000-0200-0000ED150200}"/>
              </a:ext>
            </a:extLst>
          </xdr:cNvPr>
          <xdr:cNvSpPr/>
        </xdr:nvSpPr>
        <xdr:spPr>
          <a:xfrm>
            <a:off x="419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86" name="QRD">
            <a:extLst>
              <a:ext uri="{FF2B5EF4-FFF2-40B4-BE49-F238E27FC236}">
                <a16:creationId xmlns:a16="http://schemas.microsoft.com/office/drawing/2014/main" id="{00000000-0008-0000-0200-0000EE150200}"/>
              </a:ext>
            </a:extLst>
          </xdr:cNvPr>
          <xdr:cNvSpPr/>
        </xdr:nvSpPr>
        <xdr:spPr>
          <a:xfrm>
            <a:off x="4318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87" name="QRD">
            <a:extLst>
              <a:ext uri="{FF2B5EF4-FFF2-40B4-BE49-F238E27FC236}">
                <a16:creationId xmlns:a16="http://schemas.microsoft.com/office/drawing/2014/main" id="{00000000-0008-0000-0200-0000EF150200}"/>
              </a:ext>
            </a:extLst>
          </xdr:cNvPr>
          <xdr:cNvSpPr/>
        </xdr:nvSpPr>
        <xdr:spPr>
          <a:xfrm>
            <a:off x="4572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88" name="QRD">
            <a:extLst>
              <a:ext uri="{FF2B5EF4-FFF2-40B4-BE49-F238E27FC236}">
                <a16:creationId xmlns:a16="http://schemas.microsoft.com/office/drawing/2014/main" id="{00000000-0008-0000-0200-0000F0150200}"/>
              </a:ext>
            </a:extLst>
          </xdr:cNvPr>
          <xdr:cNvSpPr/>
        </xdr:nvSpPr>
        <xdr:spPr>
          <a:xfrm>
            <a:off x="4699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89" name="QRD">
            <a:extLst>
              <a:ext uri="{FF2B5EF4-FFF2-40B4-BE49-F238E27FC236}">
                <a16:creationId xmlns:a16="http://schemas.microsoft.com/office/drawing/2014/main" id="{00000000-0008-0000-0200-0000F1150200}"/>
              </a:ext>
            </a:extLst>
          </xdr:cNvPr>
          <xdr:cNvSpPr/>
        </xdr:nvSpPr>
        <xdr:spPr>
          <a:xfrm>
            <a:off x="482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90" name="QRD">
            <a:extLst>
              <a:ext uri="{FF2B5EF4-FFF2-40B4-BE49-F238E27FC236}">
                <a16:creationId xmlns:a16="http://schemas.microsoft.com/office/drawing/2014/main" id="{00000000-0008-0000-0200-0000F2150200}"/>
              </a:ext>
            </a:extLst>
          </xdr:cNvPr>
          <xdr:cNvSpPr/>
        </xdr:nvSpPr>
        <xdr:spPr>
          <a:xfrm>
            <a:off x="4953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91" name="QRD">
            <a:extLst>
              <a:ext uri="{FF2B5EF4-FFF2-40B4-BE49-F238E27FC236}">
                <a16:creationId xmlns:a16="http://schemas.microsoft.com/office/drawing/2014/main" id="{00000000-0008-0000-0200-0000F3150200}"/>
              </a:ext>
            </a:extLst>
          </xdr:cNvPr>
          <xdr:cNvSpPr/>
        </xdr:nvSpPr>
        <xdr:spPr>
          <a:xfrm>
            <a:off x="508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92" name="QRD">
            <a:extLst>
              <a:ext uri="{FF2B5EF4-FFF2-40B4-BE49-F238E27FC236}">
                <a16:creationId xmlns:a16="http://schemas.microsoft.com/office/drawing/2014/main" id="{00000000-0008-0000-0200-0000F4150200}"/>
              </a:ext>
            </a:extLst>
          </xdr:cNvPr>
          <xdr:cNvSpPr/>
        </xdr:nvSpPr>
        <xdr:spPr>
          <a:xfrm>
            <a:off x="381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93" name="QRD">
            <a:extLst>
              <a:ext uri="{FF2B5EF4-FFF2-40B4-BE49-F238E27FC236}">
                <a16:creationId xmlns:a16="http://schemas.microsoft.com/office/drawing/2014/main" id="{00000000-0008-0000-0200-0000F5150200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94" name="QRD">
            <a:extLst>
              <a:ext uri="{FF2B5EF4-FFF2-40B4-BE49-F238E27FC236}">
                <a16:creationId xmlns:a16="http://schemas.microsoft.com/office/drawing/2014/main" id="{00000000-0008-0000-0200-0000F6150200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95" name="QRD">
            <a:extLst>
              <a:ext uri="{FF2B5EF4-FFF2-40B4-BE49-F238E27FC236}">
                <a16:creationId xmlns:a16="http://schemas.microsoft.com/office/drawing/2014/main" id="{00000000-0008-0000-0200-0000F7150200}"/>
              </a:ext>
            </a:extLst>
          </xdr:cNvPr>
          <xdr:cNvSpPr/>
        </xdr:nvSpPr>
        <xdr:spPr>
          <a:xfrm>
            <a:off x="1016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96" name="QRD">
            <a:extLst>
              <a:ext uri="{FF2B5EF4-FFF2-40B4-BE49-F238E27FC236}">
                <a16:creationId xmlns:a16="http://schemas.microsoft.com/office/drawing/2014/main" id="{00000000-0008-0000-0200-0000F8150200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97" name="QRD">
            <a:extLst>
              <a:ext uri="{FF2B5EF4-FFF2-40B4-BE49-F238E27FC236}">
                <a16:creationId xmlns:a16="http://schemas.microsoft.com/office/drawing/2014/main" id="{00000000-0008-0000-0200-0000F9150200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98" name="QRD">
            <a:extLst>
              <a:ext uri="{FF2B5EF4-FFF2-40B4-BE49-F238E27FC236}">
                <a16:creationId xmlns:a16="http://schemas.microsoft.com/office/drawing/2014/main" id="{00000000-0008-0000-0200-0000FA150200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99" name="QRD">
            <a:extLst>
              <a:ext uri="{FF2B5EF4-FFF2-40B4-BE49-F238E27FC236}">
                <a16:creationId xmlns:a16="http://schemas.microsoft.com/office/drawing/2014/main" id="{00000000-0008-0000-0200-0000FB150200}"/>
              </a:ext>
            </a:extLst>
          </xdr:cNvPr>
          <xdr:cNvSpPr/>
        </xdr:nvSpPr>
        <xdr:spPr>
          <a:xfrm>
            <a:off x="254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00" name="QRD">
            <a:extLst>
              <a:ext uri="{FF2B5EF4-FFF2-40B4-BE49-F238E27FC236}">
                <a16:creationId xmlns:a16="http://schemas.microsoft.com/office/drawing/2014/main" id="{00000000-0008-0000-0200-0000FC150200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01" name="QRD">
            <a:extLst>
              <a:ext uri="{FF2B5EF4-FFF2-40B4-BE49-F238E27FC236}">
                <a16:creationId xmlns:a16="http://schemas.microsoft.com/office/drawing/2014/main" id="{00000000-0008-0000-0200-0000FD150200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02" name="QRD">
            <a:extLst>
              <a:ext uri="{FF2B5EF4-FFF2-40B4-BE49-F238E27FC236}">
                <a16:creationId xmlns:a16="http://schemas.microsoft.com/office/drawing/2014/main" id="{00000000-0008-0000-0200-0000FE150200}"/>
              </a:ext>
            </a:extLst>
          </xdr:cNvPr>
          <xdr:cNvSpPr/>
        </xdr:nvSpPr>
        <xdr:spPr>
          <a:xfrm>
            <a:off x="2921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03" name="QRD">
            <a:extLst>
              <a:ext uri="{FF2B5EF4-FFF2-40B4-BE49-F238E27FC236}">
                <a16:creationId xmlns:a16="http://schemas.microsoft.com/office/drawing/2014/main" id="{00000000-0008-0000-0200-0000FF150200}"/>
              </a:ext>
            </a:extLst>
          </xdr:cNvPr>
          <xdr:cNvSpPr/>
        </xdr:nvSpPr>
        <xdr:spPr>
          <a:xfrm>
            <a:off x="3048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04" name="QRD">
            <a:extLst>
              <a:ext uri="{FF2B5EF4-FFF2-40B4-BE49-F238E27FC236}">
                <a16:creationId xmlns:a16="http://schemas.microsoft.com/office/drawing/2014/main" id="{00000000-0008-0000-0200-000000160200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05" name="QRD">
            <a:extLst>
              <a:ext uri="{FF2B5EF4-FFF2-40B4-BE49-F238E27FC236}">
                <a16:creationId xmlns:a16="http://schemas.microsoft.com/office/drawing/2014/main" id="{00000000-0008-0000-0200-000001160200}"/>
              </a:ext>
            </a:extLst>
          </xdr:cNvPr>
          <xdr:cNvSpPr/>
        </xdr:nvSpPr>
        <xdr:spPr>
          <a:xfrm>
            <a:off x="342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06" name="QRD">
            <a:extLst>
              <a:ext uri="{FF2B5EF4-FFF2-40B4-BE49-F238E27FC236}">
                <a16:creationId xmlns:a16="http://schemas.microsoft.com/office/drawing/2014/main" id="{00000000-0008-0000-0200-000002160200}"/>
              </a:ext>
            </a:extLst>
          </xdr:cNvPr>
          <xdr:cNvSpPr/>
        </xdr:nvSpPr>
        <xdr:spPr>
          <a:xfrm>
            <a:off x="3556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07" name="QRD">
            <a:extLst>
              <a:ext uri="{FF2B5EF4-FFF2-40B4-BE49-F238E27FC236}">
                <a16:creationId xmlns:a16="http://schemas.microsoft.com/office/drawing/2014/main" id="{00000000-0008-0000-0200-000003160200}"/>
              </a:ext>
            </a:extLst>
          </xdr:cNvPr>
          <xdr:cNvSpPr/>
        </xdr:nvSpPr>
        <xdr:spPr>
          <a:xfrm>
            <a:off x="3683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08" name="QRD">
            <a:extLst>
              <a:ext uri="{FF2B5EF4-FFF2-40B4-BE49-F238E27FC236}">
                <a16:creationId xmlns:a16="http://schemas.microsoft.com/office/drawing/2014/main" id="{00000000-0008-0000-0200-000004160200}"/>
              </a:ext>
            </a:extLst>
          </xdr:cNvPr>
          <xdr:cNvSpPr/>
        </xdr:nvSpPr>
        <xdr:spPr>
          <a:xfrm>
            <a:off x="381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09" name="QRD">
            <a:extLst>
              <a:ext uri="{FF2B5EF4-FFF2-40B4-BE49-F238E27FC236}">
                <a16:creationId xmlns:a16="http://schemas.microsoft.com/office/drawing/2014/main" id="{00000000-0008-0000-0200-000005160200}"/>
              </a:ext>
            </a:extLst>
          </xdr:cNvPr>
          <xdr:cNvSpPr/>
        </xdr:nvSpPr>
        <xdr:spPr>
          <a:xfrm>
            <a:off x="4191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10" name="QRD">
            <a:extLst>
              <a:ext uri="{FF2B5EF4-FFF2-40B4-BE49-F238E27FC236}">
                <a16:creationId xmlns:a16="http://schemas.microsoft.com/office/drawing/2014/main" id="{00000000-0008-0000-0200-000006160200}"/>
              </a:ext>
            </a:extLst>
          </xdr:cNvPr>
          <xdr:cNvSpPr/>
        </xdr:nvSpPr>
        <xdr:spPr>
          <a:xfrm>
            <a:off x="444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11" name="QRD">
            <a:extLst>
              <a:ext uri="{FF2B5EF4-FFF2-40B4-BE49-F238E27FC236}">
                <a16:creationId xmlns:a16="http://schemas.microsoft.com/office/drawing/2014/main" id="{00000000-0008-0000-0200-000007160200}"/>
              </a:ext>
            </a:extLst>
          </xdr:cNvPr>
          <xdr:cNvSpPr/>
        </xdr:nvSpPr>
        <xdr:spPr>
          <a:xfrm>
            <a:off x="457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12" name="QRD">
            <a:extLst>
              <a:ext uri="{FF2B5EF4-FFF2-40B4-BE49-F238E27FC236}">
                <a16:creationId xmlns:a16="http://schemas.microsoft.com/office/drawing/2014/main" id="{00000000-0008-0000-0200-000008160200}"/>
              </a:ext>
            </a:extLst>
          </xdr:cNvPr>
          <xdr:cNvSpPr/>
        </xdr:nvSpPr>
        <xdr:spPr>
          <a:xfrm>
            <a:off x="4953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13" name="QRD">
            <a:extLst>
              <a:ext uri="{FF2B5EF4-FFF2-40B4-BE49-F238E27FC236}">
                <a16:creationId xmlns:a16="http://schemas.microsoft.com/office/drawing/2014/main" id="{00000000-0008-0000-0200-000009160200}"/>
              </a:ext>
            </a:extLst>
          </xdr:cNvPr>
          <xdr:cNvSpPr/>
        </xdr:nvSpPr>
        <xdr:spPr>
          <a:xfrm>
            <a:off x="508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14" name="QRD">
            <a:extLst>
              <a:ext uri="{FF2B5EF4-FFF2-40B4-BE49-F238E27FC236}">
                <a16:creationId xmlns:a16="http://schemas.microsoft.com/office/drawing/2014/main" id="{00000000-0008-0000-0200-00000A160200}"/>
              </a:ext>
            </a:extLst>
          </xdr:cNvPr>
          <xdr:cNvSpPr/>
        </xdr:nvSpPr>
        <xdr:spPr>
          <a:xfrm>
            <a:off x="12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15" name="QRD">
            <a:extLst>
              <a:ext uri="{FF2B5EF4-FFF2-40B4-BE49-F238E27FC236}">
                <a16:creationId xmlns:a16="http://schemas.microsoft.com/office/drawing/2014/main" id="{00000000-0008-0000-0200-00000B160200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16" name="QRD">
            <a:extLst>
              <a:ext uri="{FF2B5EF4-FFF2-40B4-BE49-F238E27FC236}">
                <a16:creationId xmlns:a16="http://schemas.microsoft.com/office/drawing/2014/main" id="{00000000-0008-0000-0200-00000C160200}"/>
              </a:ext>
            </a:extLst>
          </xdr:cNvPr>
          <xdr:cNvSpPr/>
        </xdr:nvSpPr>
        <xdr:spPr>
          <a:xfrm>
            <a:off x="63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17" name="QRD">
            <a:extLst>
              <a:ext uri="{FF2B5EF4-FFF2-40B4-BE49-F238E27FC236}">
                <a16:creationId xmlns:a16="http://schemas.microsoft.com/office/drawing/2014/main" id="{00000000-0008-0000-0200-00000D160200}"/>
              </a:ext>
            </a:extLst>
          </xdr:cNvPr>
          <xdr:cNvSpPr/>
        </xdr:nvSpPr>
        <xdr:spPr>
          <a:xfrm>
            <a:off x="1016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18" name="QRD">
            <a:extLst>
              <a:ext uri="{FF2B5EF4-FFF2-40B4-BE49-F238E27FC236}">
                <a16:creationId xmlns:a16="http://schemas.microsoft.com/office/drawing/2014/main" id="{00000000-0008-0000-0200-00000E160200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19" name="QRD">
            <a:extLst>
              <a:ext uri="{FF2B5EF4-FFF2-40B4-BE49-F238E27FC236}">
                <a16:creationId xmlns:a16="http://schemas.microsoft.com/office/drawing/2014/main" id="{00000000-0008-0000-0200-00000F160200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20" name="QRD">
            <a:extLst>
              <a:ext uri="{FF2B5EF4-FFF2-40B4-BE49-F238E27FC236}">
                <a16:creationId xmlns:a16="http://schemas.microsoft.com/office/drawing/2014/main" id="{00000000-0008-0000-0200-000010160200}"/>
              </a:ext>
            </a:extLst>
          </xdr:cNvPr>
          <xdr:cNvSpPr/>
        </xdr:nvSpPr>
        <xdr:spPr>
          <a:xfrm>
            <a:off x="177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21" name="QRD">
            <a:extLst>
              <a:ext uri="{FF2B5EF4-FFF2-40B4-BE49-F238E27FC236}">
                <a16:creationId xmlns:a16="http://schemas.microsoft.com/office/drawing/2014/main" id="{00000000-0008-0000-0200-000011160200}"/>
              </a:ext>
            </a:extLst>
          </xdr:cNvPr>
          <xdr:cNvSpPr/>
        </xdr:nvSpPr>
        <xdr:spPr>
          <a:xfrm>
            <a:off x="190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22" name="QRD">
            <a:extLst>
              <a:ext uri="{FF2B5EF4-FFF2-40B4-BE49-F238E27FC236}">
                <a16:creationId xmlns:a16="http://schemas.microsoft.com/office/drawing/2014/main" id="{00000000-0008-0000-0200-000012160200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23" name="QRD">
            <a:extLst>
              <a:ext uri="{FF2B5EF4-FFF2-40B4-BE49-F238E27FC236}">
                <a16:creationId xmlns:a16="http://schemas.microsoft.com/office/drawing/2014/main" id="{00000000-0008-0000-0200-000013160200}"/>
              </a:ext>
            </a:extLst>
          </xdr:cNvPr>
          <xdr:cNvSpPr/>
        </xdr:nvSpPr>
        <xdr:spPr>
          <a:xfrm>
            <a:off x="2159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24" name="QRD">
            <a:extLst>
              <a:ext uri="{FF2B5EF4-FFF2-40B4-BE49-F238E27FC236}">
                <a16:creationId xmlns:a16="http://schemas.microsoft.com/office/drawing/2014/main" id="{00000000-0008-0000-0200-000014160200}"/>
              </a:ext>
            </a:extLst>
          </xdr:cNvPr>
          <xdr:cNvSpPr/>
        </xdr:nvSpPr>
        <xdr:spPr>
          <a:xfrm>
            <a:off x="2286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25" name="QRD">
            <a:extLst>
              <a:ext uri="{FF2B5EF4-FFF2-40B4-BE49-F238E27FC236}">
                <a16:creationId xmlns:a16="http://schemas.microsoft.com/office/drawing/2014/main" id="{00000000-0008-0000-0200-000015160200}"/>
              </a:ext>
            </a:extLst>
          </xdr:cNvPr>
          <xdr:cNvSpPr/>
        </xdr:nvSpPr>
        <xdr:spPr>
          <a:xfrm>
            <a:off x="2413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26" name="QRD">
            <a:extLst>
              <a:ext uri="{FF2B5EF4-FFF2-40B4-BE49-F238E27FC236}">
                <a16:creationId xmlns:a16="http://schemas.microsoft.com/office/drawing/2014/main" id="{00000000-0008-0000-0200-000016160200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27" name="QRD">
            <a:extLst>
              <a:ext uri="{FF2B5EF4-FFF2-40B4-BE49-F238E27FC236}">
                <a16:creationId xmlns:a16="http://schemas.microsoft.com/office/drawing/2014/main" id="{00000000-0008-0000-0200-000017160200}"/>
              </a:ext>
            </a:extLst>
          </xdr:cNvPr>
          <xdr:cNvSpPr/>
        </xdr:nvSpPr>
        <xdr:spPr>
          <a:xfrm>
            <a:off x="292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28" name="QRD">
            <a:extLst>
              <a:ext uri="{FF2B5EF4-FFF2-40B4-BE49-F238E27FC236}">
                <a16:creationId xmlns:a16="http://schemas.microsoft.com/office/drawing/2014/main" id="{00000000-0008-0000-0200-000018160200}"/>
              </a:ext>
            </a:extLst>
          </xdr:cNvPr>
          <xdr:cNvSpPr/>
        </xdr:nvSpPr>
        <xdr:spPr>
          <a:xfrm>
            <a:off x="3302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29" name="QRD">
            <a:extLst>
              <a:ext uri="{FF2B5EF4-FFF2-40B4-BE49-F238E27FC236}">
                <a16:creationId xmlns:a16="http://schemas.microsoft.com/office/drawing/2014/main" id="{00000000-0008-0000-0200-000019160200}"/>
              </a:ext>
            </a:extLst>
          </xdr:cNvPr>
          <xdr:cNvSpPr/>
        </xdr:nvSpPr>
        <xdr:spPr>
          <a:xfrm>
            <a:off x="3683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30" name="QRD">
            <a:extLst>
              <a:ext uri="{FF2B5EF4-FFF2-40B4-BE49-F238E27FC236}">
                <a16:creationId xmlns:a16="http://schemas.microsoft.com/office/drawing/2014/main" id="{00000000-0008-0000-0200-00001A160200}"/>
              </a:ext>
            </a:extLst>
          </xdr:cNvPr>
          <xdr:cNvSpPr/>
        </xdr:nvSpPr>
        <xdr:spPr>
          <a:xfrm>
            <a:off x="381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31" name="QRD">
            <a:extLst>
              <a:ext uri="{FF2B5EF4-FFF2-40B4-BE49-F238E27FC236}">
                <a16:creationId xmlns:a16="http://schemas.microsoft.com/office/drawing/2014/main" id="{00000000-0008-0000-0200-00001B160200}"/>
              </a:ext>
            </a:extLst>
          </xdr:cNvPr>
          <xdr:cNvSpPr/>
        </xdr:nvSpPr>
        <xdr:spPr>
          <a:xfrm>
            <a:off x="431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32" name="QRD">
            <a:extLst>
              <a:ext uri="{FF2B5EF4-FFF2-40B4-BE49-F238E27FC236}">
                <a16:creationId xmlns:a16="http://schemas.microsoft.com/office/drawing/2014/main" id="{00000000-0008-0000-0200-00001C160200}"/>
              </a:ext>
            </a:extLst>
          </xdr:cNvPr>
          <xdr:cNvSpPr/>
        </xdr:nvSpPr>
        <xdr:spPr>
          <a:xfrm>
            <a:off x="444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33" name="QRD">
            <a:extLst>
              <a:ext uri="{FF2B5EF4-FFF2-40B4-BE49-F238E27FC236}">
                <a16:creationId xmlns:a16="http://schemas.microsoft.com/office/drawing/2014/main" id="{00000000-0008-0000-0200-00001D160200}"/>
              </a:ext>
            </a:extLst>
          </xdr:cNvPr>
          <xdr:cNvSpPr/>
        </xdr:nvSpPr>
        <xdr:spPr>
          <a:xfrm>
            <a:off x="4953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34" name="QRD">
            <a:extLst>
              <a:ext uri="{FF2B5EF4-FFF2-40B4-BE49-F238E27FC236}">
                <a16:creationId xmlns:a16="http://schemas.microsoft.com/office/drawing/2014/main" id="{00000000-0008-0000-0200-00001E160200}"/>
              </a:ext>
            </a:extLst>
          </xdr:cNvPr>
          <xdr:cNvSpPr/>
        </xdr:nvSpPr>
        <xdr:spPr>
          <a:xfrm>
            <a:off x="508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35" name="QRD">
            <a:extLst>
              <a:ext uri="{FF2B5EF4-FFF2-40B4-BE49-F238E27FC236}">
                <a16:creationId xmlns:a16="http://schemas.microsoft.com/office/drawing/2014/main" id="{00000000-0008-0000-0200-00001F160200}"/>
              </a:ext>
            </a:extLst>
          </xdr:cNvPr>
          <xdr:cNvSpPr/>
        </xdr:nvSpPr>
        <xdr:spPr>
          <a:xfrm>
            <a:off x="127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36" name="QRD">
            <a:extLst>
              <a:ext uri="{FF2B5EF4-FFF2-40B4-BE49-F238E27FC236}">
                <a16:creationId xmlns:a16="http://schemas.microsoft.com/office/drawing/2014/main" id="{00000000-0008-0000-0200-000020160200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37" name="QRD">
            <a:extLst>
              <a:ext uri="{FF2B5EF4-FFF2-40B4-BE49-F238E27FC236}">
                <a16:creationId xmlns:a16="http://schemas.microsoft.com/office/drawing/2014/main" id="{00000000-0008-0000-0200-000021160200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38" name="QRD">
            <a:extLst>
              <a:ext uri="{FF2B5EF4-FFF2-40B4-BE49-F238E27FC236}">
                <a16:creationId xmlns:a16="http://schemas.microsoft.com/office/drawing/2014/main" id="{00000000-0008-0000-0200-000022160200}"/>
              </a:ext>
            </a:extLst>
          </xdr:cNvPr>
          <xdr:cNvSpPr/>
        </xdr:nvSpPr>
        <xdr:spPr>
          <a:xfrm>
            <a:off x="152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39" name="QRD">
            <a:extLst>
              <a:ext uri="{FF2B5EF4-FFF2-40B4-BE49-F238E27FC236}">
                <a16:creationId xmlns:a16="http://schemas.microsoft.com/office/drawing/2014/main" id="{00000000-0008-0000-0200-000023160200}"/>
              </a:ext>
            </a:extLst>
          </xdr:cNvPr>
          <xdr:cNvSpPr/>
        </xdr:nvSpPr>
        <xdr:spPr>
          <a:xfrm>
            <a:off x="165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40" name="QRD">
            <a:extLst>
              <a:ext uri="{FF2B5EF4-FFF2-40B4-BE49-F238E27FC236}">
                <a16:creationId xmlns:a16="http://schemas.microsoft.com/office/drawing/2014/main" id="{00000000-0008-0000-0200-000024160200}"/>
              </a:ext>
            </a:extLst>
          </xdr:cNvPr>
          <xdr:cNvSpPr/>
        </xdr:nvSpPr>
        <xdr:spPr>
          <a:xfrm>
            <a:off x="177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41" name="QRD">
            <a:extLst>
              <a:ext uri="{FF2B5EF4-FFF2-40B4-BE49-F238E27FC236}">
                <a16:creationId xmlns:a16="http://schemas.microsoft.com/office/drawing/2014/main" id="{00000000-0008-0000-0200-000025160200}"/>
              </a:ext>
            </a:extLst>
          </xdr:cNvPr>
          <xdr:cNvSpPr/>
        </xdr:nvSpPr>
        <xdr:spPr>
          <a:xfrm>
            <a:off x="215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42" name="QRD">
            <a:extLst>
              <a:ext uri="{FF2B5EF4-FFF2-40B4-BE49-F238E27FC236}">
                <a16:creationId xmlns:a16="http://schemas.microsoft.com/office/drawing/2014/main" id="{00000000-0008-0000-0200-000026160200}"/>
              </a:ext>
            </a:extLst>
          </xdr:cNvPr>
          <xdr:cNvSpPr/>
        </xdr:nvSpPr>
        <xdr:spPr>
          <a:xfrm>
            <a:off x="2286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43" name="QRD">
            <a:extLst>
              <a:ext uri="{FF2B5EF4-FFF2-40B4-BE49-F238E27FC236}">
                <a16:creationId xmlns:a16="http://schemas.microsoft.com/office/drawing/2014/main" id="{00000000-0008-0000-0200-000027160200}"/>
              </a:ext>
            </a:extLst>
          </xdr:cNvPr>
          <xdr:cNvSpPr/>
        </xdr:nvSpPr>
        <xdr:spPr>
          <a:xfrm>
            <a:off x="241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44" name="QRD">
            <a:extLst>
              <a:ext uri="{FF2B5EF4-FFF2-40B4-BE49-F238E27FC236}">
                <a16:creationId xmlns:a16="http://schemas.microsoft.com/office/drawing/2014/main" id="{00000000-0008-0000-0200-000028160200}"/>
              </a:ext>
            </a:extLst>
          </xdr:cNvPr>
          <xdr:cNvSpPr/>
        </xdr:nvSpPr>
        <xdr:spPr>
          <a:xfrm>
            <a:off x="2667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45" name="QRD">
            <a:extLst>
              <a:ext uri="{FF2B5EF4-FFF2-40B4-BE49-F238E27FC236}">
                <a16:creationId xmlns:a16="http://schemas.microsoft.com/office/drawing/2014/main" id="{00000000-0008-0000-0200-000029160200}"/>
              </a:ext>
            </a:extLst>
          </xdr:cNvPr>
          <xdr:cNvSpPr/>
        </xdr:nvSpPr>
        <xdr:spPr>
          <a:xfrm>
            <a:off x="304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46" name="QRD">
            <a:extLst>
              <a:ext uri="{FF2B5EF4-FFF2-40B4-BE49-F238E27FC236}">
                <a16:creationId xmlns:a16="http://schemas.microsoft.com/office/drawing/2014/main" id="{00000000-0008-0000-0200-00002A160200}"/>
              </a:ext>
            </a:extLst>
          </xdr:cNvPr>
          <xdr:cNvSpPr/>
        </xdr:nvSpPr>
        <xdr:spPr>
          <a:xfrm>
            <a:off x="317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47" name="QRD">
            <a:extLst>
              <a:ext uri="{FF2B5EF4-FFF2-40B4-BE49-F238E27FC236}">
                <a16:creationId xmlns:a16="http://schemas.microsoft.com/office/drawing/2014/main" id="{00000000-0008-0000-0200-00002B160200}"/>
              </a:ext>
            </a:extLst>
          </xdr:cNvPr>
          <xdr:cNvSpPr/>
        </xdr:nvSpPr>
        <xdr:spPr>
          <a:xfrm>
            <a:off x="342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48" name="QRD">
            <a:extLst>
              <a:ext uri="{FF2B5EF4-FFF2-40B4-BE49-F238E27FC236}">
                <a16:creationId xmlns:a16="http://schemas.microsoft.com/office/drawing/2014/main" id="{00000000-0008-0000-0200-00002C160200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49" name="QRD">
            <a:extLst>
              <a:ext uri="{FF2B5EF4-FFF2-40B4-BE49-F238E27FC236}">
                <a16:creationId xmlns:a16="http://schemas.microsoft.com/office/drawing/2014/main" id="{00000000-0008-0000-0200-00002D160200}"/>
              </a:ext>
            </a:extLst>
          </xdr:cNvPr>
          <xdr:cNvSpPr/>
        </xdr:nvSpPr>
        <xdr:spPr>
          <a:xfrm>
            <a:off x="368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50" name="QRD">
            <a:extLst>
              <a:ext uri="{FF2B5EF4-FFF2-40B4-BE49-F238E27FC236}">
                <a16:creationId xmlns:a16="http://schemas.microsoft.com/office/drawing/2014/main" id="{00000000-0008-0000-0200-00002E160200}"/>
              </a:ext>
            </a:extLst>
          </xdr:cNvPr>
          <xdr:cNvSpPr/>
        </xdr:nvSpPr>
        <xdr:spPr>
          <a:xfrm>
            <a:off x="3937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51" name="QRD">
            <a:extLst>
              <a:ext uri="{FF2B5EF4-FFF2-40B4-BE49-F238E27FC236}">
                <a16:creationId xmlns:a16="http://schemas.microsoft.com/office/drawing/2014/main" id="{00000000-0008-0000-0200-00002F160200}"/>
              </a:ext>
            </a:extLst>
          </xdr:cNvPr>
          <xdr:cNvSpPr/>
        </xdr:nvSpPr>
        <xdr:spPr>
          <a:xfrm>
            <a:off x="406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52" name="QRD">
            <a:extLst>
              <a:ext uri="{FF2B5EF4-FFF2-40B4-BE49-F238E27FC236}">
                <a16:creationId xmlns:a16="http://schemas.microsoft.com/office/drawing/2014/main" id="{00000000-0008-0000-0200-000030160200}"/>
              </a:ext>
            </a:extLst>
          </xdr:cNvPr>
          <xdr:cNvSpPr/>
        </xdr:nvSpPr>
        <xdr:spPr>
          <a:xfrm>
            <a:off x="444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53" name="QRD">
            <a:extLst>
              <a:ext uri="{FF2B5EF4-FFF2-40B4-BE49-F238E27FC236}">
                <a16:creationId xmlns:a16="http://schemas.microsoft.com/office/drawing/2014/main" id="{00000000-0008-0000-0200-000031160200}"/>
              </a:ext>
            </a:extLst>
          </xdr:cNvPr>
          <xdr:cNvSpPr/>
        </xdr:nvSpPr>
        <xdr:spPr>
          <a:xfrm>
            <a:off x="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54" name="QRD">
            <a:extLst>
              <a:ext uri="{FF2B5EF4-FFF2-40B4-BE49-F238E27FC236}">
                <a16:creationId xmlns:a16="http://schemas.microsoft.com/office/drawing/2014/main" id="{00000000-0008-0000-0200-000032160200}"/>
              </a:ext>
            </a:extLst>
          </xdr:cNvPr>
          <xdr:cNvSpPr/>
        </xdr:nvSpPr>
        <xdr:spPr>
          <a:xfrm>
            <a:off x="254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55" name="QRD">
            <a:extLst>
              <a:ext uri="{FF2B5EF4-FFF2-40B4-BE49-F238E27FC236}">
                <a16:creationId xmlns:a16="http://schemas.microsoft.com/office/drawing/2014/main" id="{00000000-0008-0000-0200-000033160200}"/>
              </a:ext>
            </a:extLst>
          </xdr:cNvPr>
          <xdr:cNvSpPr/>
        </xdr:nvSpPr>
        <xdr:spPr>
          <a:xfrm>
            <a:off x="38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56" name="QRD">
            <a:extLst>
              <a:ext uri="{FF2B5EF4-FFF2-40B4-BE49-F238E27FC236}">
                <a16:creationId xmlns:a16="http://schemas.microsoft.com/office/drawing/2014/main" id="{00000000-0008-0000-0200-000034160200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57" name="QRD">
            <a:extLst>
              <a:ext uri="{FF2B5EF4-FFF2-40B4-BE49-F238E27FC236}">
                <a16:creationId xmlns:a16="http://schemas.microsoft.com/office/drawing/2014/main" id="{00000000-0008-0000-0200-000035160200}"/>
              </a:ext>
            </a:extLst>
          </xdr:cNvPr>
          <xdr:cNvSpPr/>
        </xdr:nvSpPr>
        <xdr:spPr>
          <a:xfrm>
            <a:off x="1016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58" name="QRD">
            <a:extLst>
              <a:ext uri="{FF2B5EF4-FFF2-40B4-BE49-F238E27FC236}">
                <a16:creationId xmlns:a16="http://schemas.microsoft.com/office/drawing/2014/main" id="{00000000-0008-0000-0200-000036160200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59" name="QRD">
            <a:extLst>
              <a:ext uri="{FF2B5EF4-FFF2-40B4-BE49-F238E27FC236}">
                <a16:creationId xmlns:a16="http://schemas.microsoft.com/office/drawing/2014/main" id="{00000000-0008-0000-0200-000037160200}"/>
              </a:ext>
            </a:extLst>
          </xdr:cNvPr>
          <xdr:cNvSpPr/>
        </xdr:nvSpPr>
        <xdr:spPr>
          <a:xfrm>
            <a:off x="2032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60" name="QRD">
            <a:extLst>
              <a:ext uri="{FF2B5EF4-FFF2-40B4-BE49-F238E27FC236}">
                <a16:creationId xmlns:a16="http://schemas.microsoft.com/office/drawing/2014/main" id="{00000000-0008-0000-0200-000038160200}"/>
              </a:ext>
            </a:extLst>
          </xdr:cNvPr>
          <xdr:cNvSpPr/>
        </xdr:nvSpPr>
        <xdr:spPr>
          <a:xfrm>
            <a:off x="2540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61" name="QRD">
            <a:extLst>
              <a:ext uri="{FF2B5EF4-FFF2-40B4-BE49-F238E27FC236}">
                <a16:creationId xmlns:a16="http://schemas.microsoft.com/office/drawing/2014/main" id="{00000000-0008-0000-0200-000039160200}"/>
              </a:ext>
            </a:extLst>
          </xdr:cNvPr>
          <xdr:cNvSpPr/>
        </xdr:nvSpPr>
        <xdr:spPr>
          <a:xfrm>
            <a:off x="2794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62" name="QRD">
            <a:extLst>
              <a:ext uri="{FF2B5EF4-FFF2-40B4-BE49-F238E27FC236}">
                <a16:creationId xmlns:a16="http://schemas.microsoft.com/office/drawing/2014/main" id="{00000000-0008-0000-0200-00003A160200}"/>
              </a:ext>
            </a:extLst>
          </xdr:cNvPr>
          <xdr:cNvSpPr/>
        </xdr:nvSpPr>
        <xdr:spPr>
          <a:xfrm>
            <a:off x="3175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63" name="QRD">
            <a:extLst>
              <a:ext uri="{FF2B5EF4-FFF2-40B4-BE49-F238E27FC236}">
                <a16:creationId xmlns:a16="http://schemas.microsoft.com/office/drawing/2014/main" id="{00000000-0008-0000-0200-00003B160200}"/>
              </a:ext>
            </a:extLst>
          </xdr:cNvPr>
          <xdr:cNvSpPr/>
        </xdr:nvSpPr>
        <xdr:spPr>
          <a:xfrm>
            <a:off x="3302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64" name="QRD">
            <a:extLst>
              <a:ext uri="{FF2B5EF4-FFF2-40B4-BE49-F238E27FC236}">
                <a16:creationId xmlns:a16="http://schemas.microsoft.com/office/drawing/2014/main" id="{00000000-0008-0000-0200-00003C160200}"/>
              </a:ext>
            </a:extLst>
          </xdr:cNvPr>
          <xdr:cNvSpPr/>
        </xdr:nvSpPr>
        <xdr:spPr>
          <a:xfrm>
            <a:off x="3429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65" name="QRD">
            <a:extLst>
              <a:ext uri="{FF2B5EF4-FFF2-40B4-BE49-F238E27FC236}">
                <a16:creationId xmlns:a16="http://schemas.microsoft.com/office/drawing/2014/main" id="{00000000-0008-0000-0200-00003D160200}"/>
              </a:ext>
            </a:extLst>
          </xdr:cNvPr>
          <xdr:cNvSpPr/>
        </xdr:nvSpPr>
        <xdr:spPr>
          <a:xfrm>
            <a:off x="3683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66" name="QRD">
            <a:extLst>
              <a:ext uri="{FF2B5EF4-FFF2-40B4-BE49-F238E27FC236}">
                <a16:creationId xmlns:a16="http://schemas.microsoft.com/office/drawing/2014/main" id="{00000000-0008-0000-0200-00003E160200}"/>
              </a:ext>
            </a:extLst>
          </xdr:cNvPr>
          <xdr:cNvSpPr/>
        </xdr:nvSpPr>
        <xdr:spPr>
          <a:xfrm>
            <a:off x="419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67" name="QRD">
            <a:extLst>
              <a:ext uri="{FF2B5EF4-FFF2-40B4-BE49-F238E27FC236}">
                <a16:creationId xmlns:a16="http://schemas.microsoft.com/office/drawing/2014/main" id="{00000000-0008-0000-0200-00003F160200}"/>
              </a:ext>
            </a:extLst>
          </xdr:cNvPr>
          <xdr:cNvSpPr/>
        </xdr:nvSpPr>
        <xdr:spPr>
          <a:xfrm>
            <a:off x="4318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68" name="QRD">
            <a:extLst>
              <a:ext uri="{FF2B5EF4-FFF2-40B4-BE49-F238E27FC236}">
                <a16:creationId xmlns:a16="http://schemas.microsoft.com/office/drawing/2014/main" id="{00000000-0008-0000-0200-000040160200}"/>
              </a:ext>
            </a:extLst>
          </xdr:cNvPr>
          <xdr:cNvSpPr/>
        </xdr:nvSpPr>
        <xdr:spPr>
          <a:xfrm>
            <a:off x="4572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69" name="QRD">
            <a:extLst>
              <a:ext uri="{FF2B5EF4-FFF2-40B4-BE49-F238E27FC236}">
                <a16:creationId xmlns:a16="http://schemas.microsoft.com/office/drawing/2014/main" id="{00000000-0008-0000-0200-000041160200}"/>
              </a:ext>
            </a:extLst>
          </xdr:cNvPr>
          <xdr:cNvSpPr/>
        </xdr:nvSpPr>
        <xdr:spPr>
          <a:xfrm>
            <a:off x="4826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70" name="QRD">
            <a:extLst>
              <a:ext uri="{FF2B5EF4-FFF2-40B4-BE49-F238E27FC236}">
                <a16:creationId xmlns:a16="http://schemas.microsoft.com/office/drawing/2014/main" id="{00000000-0008-0000-0200-000042160200}"/>
              </a:ext>
            </a:extLst>
          </xdr:cNvPr>
          <xdr:cNvSpPr/>
        </xdr:nvSpPr>
        <xdr:spPr>
          <a:xfrm>
            <a:off x="4953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71" name="QRD">
            <a:extLst>
              <a:ext uri="{FF2B5EF4-FFF2-40B4-BE49-F238E27FC236}">
                <a16:creationId xmlns:a16="http://schemas.microsoft.com/office/drawing/2014/main" id="{00000000-0008-0000-0200-000043160200}"/>
              </a:ext>
            </a:extLst>
          </xdr:cNvPr>
          <xdr:cNvSpPr/>
        </xdr:nvSpPr>
        <xdr:spPr>
          <a:xfrm>
            <a:off x="5080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72" name="QRD">
            <a:extLst>
              <a:ext uri="{FF2B5EF4-FFF2-40B4-BE49-F238E27FC236}">
                <a16:creationId xmlns:a16="http://schemas.microsoft.com/office/drawing/2014/main" id="{00000000-0008-0000-0200-000044160200}"/>
              </a:ext>
            </a:extLst>
          </xdr:cNvPr>
          <xdr:cNvSpPr/>
        </xdr:nvSpPr>
        <xdr:spPr>
          <a:xfrm>
            <a:off x="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73" name="QRD">
            <a:extLst>
              <a:ext uri="{FF2B5EF4-FFF2-40B4-BE49-F238E27FC236}">
                <a16:creationId xmlns:a16="http://schemas.microsoft.com/office/drawing/2014/main" id="{00000000-0008-0000-0200-000045160200}"/>
              </a:ext>
            </a:extLst>
          </xdr:cNvPr>
          <xdr:cNvSpPr/>
        </xdr:nvSpPr>
        <xdr:spPr>
          <a:xfrm>
            <a:off x="25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74" name="QRD">
            <a:extLst>
              <a:ext uri="{FF2B5EF4-FFF2-40B4-BE49-F238E27FC236}">
                <a16:creationId xmlns:a16="http://schemas.microsoft.com/office/drawing/2014/main" id="{00000000-0008-0000-0200-000046160200}"/>
              </a:ext>
            </a:extLst>
          </xdr:cNvPr>
          <xdr:cNvSpPr/>
        </xdr:nvSpPr>
        <xdr:spPr>
          <a:xfrm>
            <a:off x="381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75" name="QRD">
            <a:extLst>
              <a:ext uri="{FF2B5EF4-FFF2-40B4-BE49-F238E27FC236}">
                <a16:creationId xmlns:a16="http://schemas.microsoft.com/office/drawing/2014/main" id="{00000000-0008-0000-0200-000047160200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76" name="QRD">
            <a:extLst>
              <a:ext uri="{FF2B5EF4-FFF2-40B4-BE49-F238E27FC236}">
                <a16:creationId xmlns:a16="http://schemas.microsoft.com/office/drawing/2014/main" id="{00000000-0008-0000-0200-000048160200}"/>
              </a:ext>
            </a:extLst>
          </xdr:cNvPr>
          <xdr:cNvSpPr/>
        </xdr:nvSpPr>
        <xdr:spPr>
          <a:xfrm>
            <a:off x="889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77" name="QRD">
            <a:extLst>
              <a:ext uri="{FF2B5EF4-FFF2-40B4-BE49-F238E27FC236}">
                <a16:creationId xmlns:a16="http://schemas.microsoft.com/office/drawing/2014/main" id="{00000000-0008-0000-0200-000049160200}"/>
              </a:ext>
            </a:extLst>
          </xdr:cNvPr>
          <xdr:cNvSpPr/>
        </xdr:nvSpPr>
        <xdr:spPr>
          <a:xfrm>
            <a:off x="203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78" name="QRD">
            <a:extLst>
              <a:ext uri="{FF2B5EF4-FFF2-40B4-BE49-F238E27FC236}">
                <a16:creationId xmlns:a16="http://schemas.microsoft.com/office/drawing/2014/main" id="{00000000-0008-0000-0200-00004A160200}"/>
              </a:ext>
            </a:extLst>
          </xdr:cNvPr>
          <xdr:cNvSpPr/>
        </xdr:nvSpPr>
        <xdr:spPr>
          <a:xfrm>
            <a:off x="2159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79" name="QRD">
            <a:extLst>
              <a:ext uri="{FF2B5EF4-FFF2-40B4-BE49-F238E27FC236}">
                <a16:creationId xmlns:a16="http://schemas.microsoft.com/office/drawing/2014/main" id="{00000000-0008-0000-0200-00004B160200}"/>
              </a:ext>
            </a:extLst>
          </xdr:cNvPr>
          <xdr:cNvSpPr/>
        </xdr:nvSpPr>
        <xdr:spPr>
          <a:xfrm>
            <a:off x="2921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80" name="QRD">
            <a:extLst>
              <a:ext uri="{FF2B5EF4-FFF2-40B4-BE49-F238E27FC236}">
                <a16:creationId xmlns:a16="http://schemas.microsoft.com/office/drawing/2014/main" id="{00000000-0008-0000-0200-00004C160200}"/>
              </a:ext>
            </a:extLst>
          </xdr:cNvPr>
          <xdr:cNvSpPr/>
        </xdr:nvSpPr>
        <xdr:spPr>
          <a:xfrm>
            <a:off x="3429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81" name="QRD">
            <a:extLst>
              <a:ext uri="{FF2B5EF4-FFF2-40B4-BE49-F238E27FC236}">
                <a16:creationId xmlns:a16="http://schemas.microsoft.com/office/drawing/2014/main" id="{00000000-0008-0000-0200-00004D160200}"/>
              </a:ext>
            </a:extLst>
          </xdr:cNvPr>
          <xdr:cNvSpPr/>
        </xdr:nvSpPr>
        <xdr:spPr>
          <a:xfrm>
            <a:off x="355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82" name="QRD">
            <a:extLst>
              <a:ext uri="{FF2B5EF4-FFF2-40B4-BE49-F238E27FC236}">
                <a16:creationId xmlns:a16="http://schemas.microsoft.com/office/drawing/2014/main" id="{00000000-0008-0000-0200-00004E160200}"/>
              </a:ext>
            </a:extLst>
          </xdr:cNvPr>
          <xdr:cNvSpPr/>
        </xdr:nvSpPr>
        <xdr:spPr>
          <a:xfrm>
            <a:off x="3683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83" name="QRD">
            <a:extLst>
              <a:ext uri="{FF2B5EF4-FFF2-40B4-BE49-F238E27FC236}">
                <a16:creationId xmlns:a16="http://schemas.microsoft.com/office/drawing/2014/main" id="{00000000-0008-0000-0200-00004F160200}"/>
              </a:ext>
            </a:extLst>
          </xdr:cNvPr>
          <xdr:cNvSpPr/>
        </xdr:nvSpPr>
        <xdr:spPr>
          <a:xfrm>
            <a:off x="406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84" name="QRD">
            <a:extLst>
              <a:ext uri="{FF2B5EF4-FFF2-40B4-BE49-F238E27FC236}">
                <a16:creationId xmlns:a16="http://schemas.microsoft.com/office/drawing/2014/main" id="{00000000-0008-0000-0200-000050160200}"/>
              </a:ext>
            </a:extLst>
          </xdr:cNvPr>
          <xdr:cNvSpPr/>
        </xdr:nvSpPr>
        <xdr:spPr>
          <a:xfrm>
            <a:off x="4191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85" name="QRD">
            <a:extLst>
              <a:ext uri="{FF2B5EF4-FFF2-40B4-BE49-F238E27FC236}">
                <a16:creationId xmlns:a16="http://schemas.microsoft.com/office/drawing/2014/main" id="{00000000-0008-0000-0200-000051160200}"/>
              </a:ext>
            </a:extLst>
          </xdr:cNvPr>
          <xdr:cNvSpPr/>
        </xdr:nvSpPr>
        <xdr:spPr>
          <a:xfrm>
            <a:off x="4318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86" name="QRD">
            <a:extLst>
              <a:ext uri="{FF2B5EF4-FFF2-40B4-BE49-F238E27FC236}">
                <a16:creationId xmlns:a16="http://schemas.microsoft.com/office/drawing/2014/main" id="{00000000-0008-0000-0200-000052160200}"/>
              </a:ext>
            </a:extLst>
          </xdr:cNvPr>
          <xdr:cNvSpPr/>
        </xdr:nvSpPr>
        <xdr:spPr>
          <a:xfrm>
            <a:off x="4699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87" name="QRD">
            <a:extLst>
              <a:ext uri="{FF2B5EF4-FFF2-40B4-BE49-F238E27FC236}">
                <a16:creationId xmlns:a16="http://schemas.microsoft.com/office/drawing/2014/main" id="{00000000-0008-0000-0200-000053160200}"/>
              </a:ext>
            </a:extLst>
          </xdr:cNvPr>
          <xdr:cNvSpPr/>
        </xdr:nvSpPr>
        <xdr:spPr>
          <a:xfrm>
            <a:off x="4953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88" name="QRD">
            <a:extLst>
              <a:ext uri="{FF2B5EF4-FFF2-40B4-BE49-F238E27FC236}">
                <a16:creationId xmlns:a16="http://schemas.microsoft.com/office/drawing/2014/main" id="{00000000-0008-0000-0200-000054160200}"/>
              </a:ext>
            </a:extLst>
          </xdr:cNvPr>
          <xdr:cNvSpPr/>
        </xdr:nvSpPr>
        <xdr:spPr>
          <a:xfrm>
            <a:off x="5080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89" name="QRD">
            <a:extLst>
              <a:ext uri="{FF2B5EF4-FFF2-40B4-BE49-F238E27FC236}">
                <a16:creationId xmlns:a16="http://schemas.microsoft.com/office/drawing/2014/main" id="{00000000-0008-0000-0200-000055160200}"/>
              </a:ext>
            </a:extLst>
          </xdr:cNvPr>
          <xdr:cNvSpPr/>
        </xdr:nvSpPr>
        <xdr:spPr>
          <a:xfrm>
            <a:off x="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90" name="QRD">
            <a:extLst>
              <a:ext uri="{FF2B5EF4-FFF2-40B4-BE49-F238E27FC236}">
                <a16:creationId xmlns:a16="http://schemas.microsoft.com/office/drawing/2014/main" id="{00000000-0008-0000-0200-000056160200}"/>
              </a:ext>
            </a:extLst>
          </xdr:cNvPr>
          <xdr:cNvSpPr/>
        </xdr:nvSpPr>
        <xdr:spPr>
          <a:xfrm>
            <a:off x="63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91" name="QRD">
            <a:extLst>
              <a:ext uri="{FF2B5EF4-FFF2-40B4-BE49-F238E27FC236}">
                <a16:creationId xmlns:a16="http://schemas.microsoft.com/office/drawing/2014/main" id="{00000000-0008-0000-0200-000057160200}"/>
              </a:ext>
            </a:extLst>
          </xdr:cNvPr>
          <xdr:cNvSpPr/>
        </xdr:nvSpPr>
        <xdr:spPr>
          <a:xfrm>
            <a:off x="889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92" name="QRD">
            <a:extLst>
              <a:ext uri="{FF2B5EF4-FFF2-40B4-BE49-F238E27FC236}">
                <a16:creationId xmlns:a16="http://schemas.microsoft.com/office/drawing/2014/main" id="{00000000-0008-0000-0200-000058160200}"/>
              </a:ext>
            </a:extLst>
          </xdr:cNvPr>
          <xdr:cNvSpPr/>
        </xdr:nvSpPr>
        <xdr:spPr>
          <a:xfrm>
            <a:off x="1143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93" name="QRD">
            <a:extLst>
              <a:ext uri="{FF2B5EF4-FFF2-40B4-BE49-F238E27FC236}">
                <a16:creationId xmlns:a16="http://schemas.microsoft.com/office/drawing/2014/main" id="{00000000-0008-0000-0200-000059160200}"/>
              </a:ext>
            </a:extLst>
          </xdr:cNvPr>
          <xdr:cNvSpPr/>
        </xdr:nvSpPr>
        <xdr:spPr>
          <a:xfrm>
            <a:off x="1270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94" name="QRD">
            <a:extLst>
              <a:ext uri="{FF2B5EF4-FFF2-40B4-BE49-F238E27FC236}">
                <a16:creationId xmlns:a16="http://schemas.microsoft.com/office/drawing/2014/main" id="{00000000-0008-0000-0200-00005A160200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95" name="QRD">
            <a:extLst>
              <a:ext uri="{FF2B5EF4-FFF2-40B4-BE49-F238E27FC236}">
                <a16:creationId xmlns:a16="http://schemas.microsoft.com/office/drawing/2014/main" id="{00000000-0008-0000-0200-00005B160200}"/>
              </a:ext>
            </a:extLst>
          </xdr:cNvPr>
          <xdr:cNvSpPr/>
        </xdr:nvSpPr>
        <xdr:spPr>
          <a:xfrm>
            <a:off x="2159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96" name="QRD">
            <a:extLst>
              <a:ext uri="{FF2B5EF4-FFF2-40B4-BE49-F238E27FC236}">
                <a16:creationId xmlns:a16="http://schemas.microsoft.com/office/drawing/2014/main" id="{00000000-0008-0000-0200-00005C160200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97" name="QRD">
            <a:extLst>
              <a:ext uri="{FF2B5EF4-FFF2-40B4-BE49-F238E27FC236}">
                <a16:creationId xmlns:a16="http://schemas.microsoft.com/office/drawing/2014/main" id="{00000000-0008-0000-0200-00005D160200}"/>
              </a:ext>
            </a:extLst>
          </xdr:cNvPr>
          <xdr:cNvSpPr/>
        </xdr:nvSpPr>
        <xdr:spPr>
          <a:xfrm>
            <a:off x="2794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98" name="QRD">
            <a:extLst>
              <a:ext uri="{FF2B5EF4-FFF2-40B4-BE49-F238E27FC236}">
                <a16:creationId xmlns:a16="http://schemas.microsoft.com/office/drawing/2014/main" id="{00000000-0008-0000-0200-00005E160200}"/>
              </a:ext>
            </a:extLst>
          </xdr:cNvPr>
          <xdr:cNvSpPr/>
        </xdr:nvSpPr>
        <xdr:spPr>
          <a:xfrm>
            <a:off x="3429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99" name="QRD">
            <a:extLst>
              <a:ext uri="{FF2B5EF4-FFF2-40B4-BE49-F238E27FC236}">
                <a16:creationId xmlns:a16="http://schemas.microsoft.com/office/drawing/2014/main" id="{00000000-0008-0000-0200-00005F160200}"/>
              </a:ext>
            </a:extLst>
          </xdr:cNvPr>
          <xdr:cNvSpPr/>
        </xdr:nvSpPr>
        <xdr:spPr>
          <a:xfrm>
            <a:off x="3556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00" name="QRD">
            <a:extLst>
              <a:ext uri="{FF2B5EF4-FFF2-40B4-BE49-F238E27FC236}">
                <a16:creationId xmlns:a16="http://schemas.microsoft.com/office/drawing/2014/main" id="{00000000-0008-0000-0200-000060160200}"/>
              </a:ext>
            </a:extLst>
          </xdr:cNvPr>
          <xdr:cNvSpPr/>
        </xdr:nvSpPr>
        <xdr:spPr>
          <a:xfrm>
            <a:off x="3683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01" name="QRD">
            <a:extLst>
              <a:ext uri="{FF2B5EF4-FFF2-40B4-BE49-F238E27FC236}">
                <a16:creationId xmlns:a16="http://schemas.microsoft.com/office/drawing/2014/main" id="{00000000-0008-0000-0200-000061160200}"/>
              </a:ext>
            </a:extLst>
          </xdr:cNvPr>
          <xdr:cNvSpPr/>
        </xdr:nvSpPr>
        <xdr:spPr>
          <a:xfrm>
            <a:off x="3810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02" name="QRD">
            <a:extLst>
              <a:ext uri="{FF2B5EF4-FFF2-40B4-BE49-F238E27FC236}">
                <a16:creationId xmlns:a16="http://schemas.microsoft.com/office/drawing/2014/main" id="{00000000-0008-0000-0200-000062160200}"/>
              </a:ext>
            </a:extLst>
          </xdr:cNvPr>
          <xdr:cNvSpPr/>
        </xdr:nvSpPr>
        <xdr:spPr>
          <a:xfrm>
            <a:off x="393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03" name="QRD">
            <a:extLst>
              <a:ext uri="{FF2B5EF4-FFF2-40B4-BE49-F238E27FC236}">
                <a16:creationId xmlns:a16="http://schemas.microsoft.com/office/drawing/2014/main" id="{00000000-0008-0000-0200-000063160200}"/>
              </a:ext>
            </a:extLst>
          </xdr:cNvPr>
          <xdr:cNvSpPr/>
        </xdr:nvSpPr>
        <xdr:spPr>
          <a:xfrm>
            <a:off x="4064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04" name="QRD">
            <a:extLst>
              <a:ext uri="{FF2B5EF4-FFF2-40B4-BE49-F238E27FC236}">
                <a16:creationId xmlns:a16="http://schemas.microsoft.com/office/drawing/2014/main" id="{00000000-0008-0000-0200-000064160200}"/>
              </a:ext>
            </a:extLst>
          </xdr:cNvPr>
          <xdr:cNvSpPr/>
        </xdr:nvSpPr>
        <xdr:spPr>
          <a:xfrm>
            <a:off x="431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05" name="QRD">
            <a:extLst>
              <a:ext uri="{FF2B5EF4-FFF2-40B4-BE49-F238E27FC236}">
                <a16:creationId xmlns:a16="http://schemas.microsoft.com/office/drawing/2014/main" id="{00000000-0008-0000-0200-000065160200}"/>
              </a:ext>
            </a:extLst>
          </xdr:cNvPr>
          <xdr:cNvSpPr/>
        </xdr:nvSpPr>
        <xdr:spPr>
          <a:xfrm>
            <a:off x="4953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06" name="QRD">
            <a:extLst>
              <a:ext uri="{FF2B5EF4-FFF2-40B4-BE49-F238E27FC236}">
                <a16:creationId xmlns:a16="http://schemas.microsoft.com/office/drawing/2014/main" id="{00000000-0008-0000-0200-000066160200}"/>
              </a:ext>
            </a:extLst>
          </xdr:cNvPr>
          <xdr:cNvSpPr/>
        </xdr:nvSpPr>
        <xdr:spPr>
          <a:xfrm>
            <a:off x="5080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07" name="QRD">
            <a:extLst>
              <a:ext uri="{FF2B5EF4-FFF2-40B4-BE49-F238E27FC236}">
                <a16:creationId xmlns:a16="http://schemas.microsoft.com/office/drawing/2014/main" id="{00000000-0008-0000-0200-000067160200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08" name="QRD">
            <a:extLst>
              <a:ext uri="{FF2B5EF4-FFF2-40B4-BE49-F238E27FC236}">
                <a16:creationId xmlns:a16="http://schemas.microsoft.com/office/drawing/2014/main" id="{00000000-0008-0000-0200-000068160200}"/>
              </a:ext>
            </a:extLst>
          </xdr:cNvPr>
          <xdr:cNvSpPr/>
        </xdr:nvSpPr>
        <xdr:spPr>
          <a:xfrm>
            <a:off x="127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09" name="QRD">
            <a:extLst>
              <a:ext uri="{FF2B5EF4-FFF2-40B4-BE49-F238E27FC236}">
                <a16:creationId xmlns:a16="http://schemas.microsoft.com/office/drawing/2014/main" id="{00000000-0008-0000-0200-000069160200}"/>
              </a:ext>
            </a:extLst>
          </xdr:cNvPr>
          <xdr:cNvSpPr/>
        </xdr:nvSpPr>
        <xdr:spPr>
          <a:xfrm>
            <a:off x="25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10" name="QRD">
            <a:extLst>
              <a:ext uri="{FF2B5EF4-FFF2-40B4-BE49-F238E27FC236}">
                <a16:creationId xmlns:a16="http://schemas.microsoft.com/office/drawing/2014/main" id="{00000000-0008-0000-0200-00006A160200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11" name="QRD">
            <a:extLst>
              <a:ext uri="{FF2B5EF4-FFF2-40B4-BE49-F238E27FC236}">
                <a16:creationId xmlns:a16="http://schemas.microsoft.com/office/drawing/2014/main" id="{00000000-0008-0000-0200-00006B160200}"/>
              </a:ext>
            </a:extLst>
          </xdr:cNvPr>
          <xdr:cNvSpPr/>
        </xdr:nvSpPr>
        <xdr:spPr>
          <a:xfrm>
            <a:off x="63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12" name="QRD">
            <a:extLst>
              <a:ext uri="{FF2B5EF4-FFF2-40B4-BE49-F238E27FC236}">
                <a16:creationId xmlns:a16="http://schemas.microsoft.com/office/drawing/2014/main" id="{00000000-0008-0000-0200-00006C160200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13" name="QRD">
            <a:extLst>
              <a:ext uri="{FF2B5EF4-FFF2-40B4-BE49-F238E27FC236}">
                <a16:creationId xmlns:a16="http://schemas.microsoft.com/office/drawing/2014/main" id="{00000000-0008-0000-0200-00006D160200}"/>
              </a:ext>
            </a:extLst>
          </xdr:cNvPr>
          <xdr:cNvSpPr/>
        </xdr:nvSpPr>
        <xdr:spPr>
          <a:xfrm>
            <a:off x="1143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14" name="QRD">
            <a:extLst>
              <a:ext uri="{FF2B5EF4-FFF2-40B4-BE49-F238E27FC236}">
                <a16:creationId xmlns:a16="http://schemas.microsoft.com/office/drawing/2014/main" id="{00000000-0008-0000-0200-00006E160200}"/>
              </a:ext>
            </a:extLst>
          </xdr:cNvPr>
          <xdr:cNvSpPr/>
        </xdr:nvSpPr>
        <xdr:spPr>
          <a:xfrm>
            <a:off x="1270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15" name="QRD">
            <a:extLst>
              <a:ext uri="{FF2B5EF4-FFF2-40B4-BE49-F238E27FC236}">
                <a16:creationId xmlns:a16="http://schemas.microsoft.com/office/drawing/2014/main" id="{00000000-0008-0000-0200-00006F160200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16" name="QRD">
            <a:extLst>
              <a:ext uri="{FF2B5EF4-FFF2-40B4-BE49-F238E27FC236}">
                <a16:creationId xmlns:a16="http://schemas.microsoft.com/office/drawing/2014/main" id="{00000000-0008-0000-0200-000070160200}"/>
              </a:ext>
            </a:extLst>
          </xdr:cNvPr>
          <xdr:cNvSpPr/>
        </xdr:nvSpPr>
        <xdr:spPr>
          <a:xfrm>
            <a:off x="177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17" name="QRD">
            <a:extLst>
              <a:ext uri="{FF2B5EF4-FFF2-40B4-BE49-F238E27FC236}">
                <a16:creationId xmlns:a16="http://schemas.microsoft.com/office/drawing/2014/main" id="{00000000-0008-0000-0200-000071160200}"/>
              </a:ext>
            </a:extLst>
          </xdr:cNvPr>
          <xdr:cNvSpPr/>
        </xdr:nvSpPr>
        <xdr:spPr>
          <a:xfrm>
            <a:off x="190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18" name="QRD">
            <a:extLst>
              <a:ext uri="{FF2B5EF4-FFF2-40B4-BE49-F238E27FC236}">
                <a16:creationId xmlns:a16="http://schemas.microsoft.com/office/drawing/2014/main" id="{00000000-0008-0000-0200-000072160200}"/>
              </a:ext>
            </a:extLst>
          </xdr:cNvPr>
          <xdr:cNvSpPr/>
        </xdr:nvSpPr>
        <xdr:spPr>
          <a:xfrm>
            <a:off x="203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19" name="QRD">
            <a:extLst>
              <a:ext uri="{FF2B5EF4-FFF2-40B4-BE49-F238E27FC236}">
                <a16:creationId xmlns:a16="http://schemas.microsoft.com/office/drawing/2014/main" id="{00000000-0008-0000-0200-000073160200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20" name="QRD">
            <a:extLst>
              <a:ext uri="{FF2B5EF4-FFF2-40B4-BE49-F238E27FC236}">
                <a16:creationId xmlns:a16="http://schemas.microsoft.com/office/drawing/2014/main" id="{00000000-0008-0000-0200-000074160200}"/>
              </a:ext>
            </a:extLst>
          </xdr:cNvPr>
          <xdr:cNvSpPr/>
        </xdr:nvSpPr>
        <xdr:spPr>
          <a:xfrm>
            <a:off x="2286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21" name="QRD">
            <a:extLst>
              <a:ext uri="{FF2B5EF4-FFF2-40B4-BE49-F238E27FC236}">
                <a16:creationId xmlns:a16="http://schemas.microsoft.com/office/drawing/2014/main" id="{00000000-0008-0000-0200-000075160200}"/>
              </a:ext>
            </a:extLst>
          </xdr:cNvPr>
          <xdr:cNvSpPr/>
        </xdr:nvSpPr>
        <xdr:spPr>
          <a:xfrm>
            <a:off x="2413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22" name="QRD">
            <a:extLst>
              <a:ext uri="{FF2B5EF4-FFF2-40B4-BE49-F238E27FC236}">
                <a16:creationId xmlns:a16="http://schemas.microsoft.com/office/drawing/2014/main" id="{00000000-0008-0000-0200-000076160200}"/>
              </a:ext>
            </a:extLst>
          </xdr:cNvPr>
          <xdr:cNvSpPr/>
        </xdr:nvSpPr>
        <xdr:spPr>
          <a:xfrm>
            <a:off x="2667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23" name="QRD">
            <a:extLst>
              <a:ext uri="{FF2B5EF4-FFF2-40B4-BE49-F238E27FC236}">
                <a16:creationId xmlns:a16="http://schemas.microsoft.com/office/drawing/2014/main" id="{00000000-0008-0000-0200-000077160200}"/>
              </a:ext>
            </a:extLst>
          </xdr:cNvPr>
          <xdr:cNvSpPr/>
        </xdr:nvSpPr>
        <xdr:spPr>
          <a:xfrm>
            <a:off x="330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24" name="QRD">
            <a:extLst>
              <a:ext uri="{FF2B5EF4-FFF2-40B4-BE49-F238E27FC236}">
                <a16:creationId xmlns:a16="http://schemas.microsoft.com/office/drawing/2014/main" id="{00000000-0008-0000-0200-000078160200}"/>
              </a:ext>
            </a:extLst>
          </xdr:cNvPr>
          <xdr:cNvSpPr/>
        </xdr:nvSpPr>
        <xdr:spPr>
          <a:xfrm>
            <a:off x="3937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25" name="QRD">
            <a:extLst>
              <a:ext uri="{FF2B5EF4-FFF2-40B4-BE49-F238E27FC236}">
                <a16:creationId xmlns:a16="http://schemas.microsoft.com/office/drawing/2014/main" id="{00000000-0008-0000-0200-000079160200}"/>
              </a:ext>
            </a:extLst>
          </xdr:cNvPr>
          <xdr:cNvSpPr/>
        </xdr:nvSpPr>
        <xdr:spPr>
          <a:xfrm>
            <a:off x="444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26" name="QRD">
            <a:extLst>
              <a:ext uri="{FF2B5EF4-FFF2-40B4-BE49-F238E27FC236}">
                <a16:creationId xmlns:a16="http://schemas.microsoft.com/office/drawing/2014/main" id="{00000000-0008-0000-0200-00007A160200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27" name="QRD">
            <a:extLst>
              <a:ext uri="{FF2B5EF4-FFF2-40B4-BE49-F238E27FC236}">
                <a16:creationId xmlns:a16="http://schemas.microsoft.com/office/drawing/2014/main" id="{00000000-0008-0000-0200-00007B160200}"/>
              </a:ext>
            </a:extLst>
          </xdr:cNvPr>
          <xdr:cNvSpPr/>
        </xdr:nvSpPr>
        <xdr:spPr>
          <a:xfrm>
            <a:off x="508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28" name="QRD">
            <a:extLst>
              <a:ext uri="{FF2B5EF4-FFF2-40B4-BE49-F238E27FC236}">
                <a16:creationId xmlns:a16="http://schemas.microsoft.com/office/drawing/2014/main" id="{00000000-0008-0000-0200-00007C160200}"/>
              </a:ext>
            </a:extLst>
          </xdr:cNvPr>
          <xdr:cNvSpPr/>
        </xdr:nvSpPr>
        <xdr:spPr>
          <a:xfrm>
            <a:off x="635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29" name="QRD">
            <a:extLst>
              <a:ext uri="{FF2B5EF4-FFF2-40B4-BE49-F238E27FC236}">
                <a16:creationId xmlns:a16="http://schemas.microsoft.com/office/drawing/2014/main" id="{00000000-0008-0000-0200-00007D160200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30" name="QRD">
            <a:extLst>
              <a:ext uri="{FF2B5EF4-FFF2-40B4-BE49-F238E27FC236}">
                <a16:creationId xmlns:a16="http://schemas.microsoft.com/office/drawing/2014/main" id="{00000000-0008-0000-0200-00007E160200}"/>
              </a:ext>
            </a:extLst>
          </xdr:cNvPr>
          <xdr:cNvSpPr/>
        </xdr:nvSpPr>
        <xdr:spPr>
          <a:xfrm>
            <a:off x="1270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31" name="QRD">
            <a:extLst>
              <a:ext uri="{FF2B5EF4-FFF2-40B4-BE49-F238E27FC236}">
                <a16:creationId xmlns:a16="http://schemas.microsoft.com/office/drawing/2014/main" id="{00000000-0008-0000-0200-00007F160200}"/>
              </a:ext>
            </a:extLst>
          </xdr:cNvPr>
          <xdr:cNvSpPr/>
        </xdr:nvSpPr>
        <xdr:spPr>
          <a:xfrm>
            <a:off x="139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32" name="QRD">
            <a:extLst>
              <a:ext uri="{FF2B5EF4-FFF2-40B4-BE49-F238E27FC236}">
                <a16:creationId xmlns:a16="http://schemas.microsoft.com/office/drawing/2014/main" id="{00000000-0008-0000-0200-000080160200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33" name="QRD">
            <a:extLst>
              <a:ext uri="{FF2B5EF4-FFF2-40B4-BE49-F238E27FC236}">
                <a16:creationId xmlns:a16="http://schemas.microsoft.com/office/drawing/2014/main" id="{00000000-0008-0000-0200-000081160200}"/>
              </a:ext>
            </a:extLst>
          </xdr:cNvPr>
          <xdr:cNvSpPr/>
        </xdr:nvSpPr>
        <xdr:spPr>
          <a:xfrm>
            <a:off x="1905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34" name="QRD">
            <a:extLst>
              <a:ext uri="{FF2B5EF4-FFF2-40B4-BE49-F238E27FC236}">
                <a16:creationId xmlns:a16="http://schemas.microsoft.com/office/drawing/2014/main" id="{00000000-0008-0000-0200-000082160200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35" name="QRD">
            <a:extLst>
              <a:ext uri="{FF2B5EF4-FFF2-40B4-BE49-F238E27FC236}">
                <a16:creationId xmlns:a16="http://schemas.microsoft.com/office/drawing/2014/main" id="{00000000-0008-0000-0200-000083160200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36" name="QRD">
            <a:extLst>
              <a:ext uri="{FF2B5EF4-FFF2-40B4-BE49-F238E27FC236}">
                <a16:creationId xmlns:a16="http://schemas.microsoft.com/office/drawing/2014/main" id="{00000000-0008-0000-0200-000084160200}"/>
              </a:ext>
            </a:extLst>
          </xdr:cNvPr>
          <xdr:cNvSpPr/>
        </xdr:nvSpPr>
        <xdr:spPr>
          <a:xfrm>
            <a:off x="292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37" name="QRD">
            <a:extLst>
              <a:ext uri="{FF2B5EF4-FFF2-40B4-BE49-F238E27FC236}">
                <a16:creationId xmlns:a16="http://schemas.microsoft.com/office/drawing/2014/main" id="{00000000-0008-0000-0200-000085160200}"/>
              </a:ext>
            </a:extLst>
          </xdr:cNvPr>
          <xdr:cNvSpPr/>
        </xdr:nvSpPr>
        <xdr:spPr>
          <a:xfrm>
            <a:off x="3048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38" name="QRD">
            <a:extLst>
              <a:ext uri="{FF2B5EF4-FFF2-40B4-BE49-F238E27FC236}">
                <a16:creationId xmlns:a16="http://schemas.microsoft.com/office/drawing/2014/main" id="{00000000-0008-0000-0200-000086160200}"/>
              </a:ext>
            </a:extLst>
          </xdr:cNvPr>
          <xdr:cNvSpPr/>
        </xdr:nvSpPr>
        <xdr:spPr>
          <a:xfrm>
            <a:off x="3556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39" name="QRD">
            <a:extLst>
              <a:ext uri="{FF2B5EF4-FFF2-40B4-BE49-F238E27FC236}">
                <a16:creationId xmlns:a16="http://schemas.microsoft.com/office/drawing/2014/main" id="{00000000-0008-0000-0200-000087160200}"/>
              </a:ext>
            </a:extLst>
          </xdr:cNvPr>
          <xdr:cNvSpPr/>
        </xdr:nvSpPr>
        <xdr:spPr>
          <a:xfrm>
            <a:off x="406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40" name="QRD">
            <a:extLst>
              <a:ext uri="{FF2B5EF4-FFF2-40B4-BE49-F238E27FC236}">
                <a16:creationId xmlns:a16="http://schemas.microsoft.com/office/drawing/2014/main" id="{00000000-0008-0000-0200-000088160200}"/>
              </a:ext>
            </a:extLst>
          </xdr:cNvPr>
          <xdr:cNvSpPr/>
        </xdr:nvSpPr>
        <xdr:spPr>
          <a:xfrm>
            <a:off x="419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41" name="QRD">
            <a:extLst>
              <a:ext uri="{FF2B5EF4-FFF2-40B4-BE49-F238E27FC236}">
                <a16:creationId xmlns:a16="http://schemas.microsoft.com/office/drawing/2014/main" id="{00000000-0008-0000-0200-000089160200}"/>
              </a:ext>
            </a:extLst>
          </xdr:cNvPr>
          <xdr:cNvSpPr/>
        </xdr:nvSpPr>
        <xdr:spPr>
          <a:xfrm>
            <a:off x="4318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42" name="QRD">
            <a:extLst>
              <a:ext uri="{FF2B5EF4-FFF2-40B4-BE49-F238E27FC236}">
                <a16:creationId xmlns:a16="http://schemas.microsoft.com/office/drawing/2014/main" id="{00000000-0008-0000-0200-00008A160200}"/>
              </a:ext>
            </a:extLst>
          </xdr:cNvPr>
          <xdr:cNvSpPr/>
        </xdr:nvSpPr>
        <xdr:spPr>
          <a:xfrm>
            <a:off x="4572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43" name="QRD">
            <a:extLst>
              <a:ext uri="{FF2B5EF4-FFF2-40B4-BE49-F238E27FC236}">
                <a16:creationId xmlns:a16="http://schemas.microsoft.com/office/drawing/2014/main" id="{00000000-0008-0000-0200-00008B160200}"/>
              </a:ext>
            </a:extLst>
          </xdr:cNvPr>
          <xdr:cNvSpPr/>
        </xdr:nvSpPr>
        <xdr:spPr>
          <a:xfrm>
            <a:off x="4699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44" name="QRD">
            <a:extLst>
              <a:ext uri="{FF2B5EF4-FFF2-40B4-BE49-F238E27FC236}">
                <a16:creationId xmlns:a16="http://schemas.microsoft.com/office/drawing/2014/main" id="{00000000-0008-0000-0200-00008C160200}"/>
              </a:ext>
            </a:extLst>
          </xdr:cNvPr>
          <xdr:cNvSpPr/>
        </xdr:nvSpPr>
        <xdr:spPr>
          <a:xfrm>
            <a:off x="4826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45" name="QRD">
            <a:extLst>
              <a:ext uri="{FF2B5EF4-FFF2-40B4-BE49-F238E27FC236}">
                <a16:creationId xmlns:a16="http://schemas.microsoft.com/office/drawing/2014/main" id="{00000000-0008-0000-0200-00008D160200}"/>
              </a:ext>
            </a:extLst>
          </xdr:cNvPr>
          <xdr:cNvSpPr/>
        </xdr:nvSpPr>
        <xdr:spPr>
          <a:xfrm>
            <a:off x="495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46" name="QRD">
            <a:extLst>
              <a:ext uri="{FF2B5EF4-FFF2-40B4-BE49-F238E27FC236}">
                <a16:creationId xmlns:a16="http://schemas.microsoft.com/office/drawing/2014/main" id="{00000000-0008-0000-0200-00008E160200}"/>
              </a:ext>
            </a:extLst>
          </xdr:cNvPr>
          <xdr:cNvSpPr/>
        </xdr:nvSpPr>
        <xdr:spPr>
          <a:xfrm>
            <a:off x="5080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47" name="QRD">
            <a:extLst>
              <a:ext uri="{FF2B5EF4-FFF2-40B4-BE49-F238E27FC236}">
                <a16:creationId xmlns:a16="http://schemas.microsoft.com/office/drawing/2014/main" id="{00000000-0008-0000-0200-00008F160200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48" name="QRD">
            <a:extLst>
              <a:ext uri="{FF2B5EF4-FFF2-40B4-BE49-F238E27FC236}">
                <a16:creationId xmlns:a16="http://schemas.microsoft.com/office/drawing/2014/main" id="{00000000-0008-0000-0200-000090160200}"/>
              </a:ext>
            </a:extLst>
          </xdr:cNvPr>
          <xdr:cNvSpPr/>
        </xdr:nvSpPr>
        <xdr:spPr>
          <a:xfrm>
            <a:off x="127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49" name="QRD">
            <a:extLst>
              <a:ext uri="{FF2B5EF4-FFF2-40B4-BE49-F238E27FC236}">
                <a16:creationId xmlns:a16="http://schemas.microsoft.com/office/drawing/2014/main" id="{00000000-0008-0000-0200-000091160200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50" name="QRD">
            <a:extLst>
              <a:ext uri="{FF2B5EF4-FFF2-40B4-BE49-F238E27FC236}">
                <a16:creationId xmlns:a16="http://schemas.microsoft.com/office/drawing/2014/main" id="{00000000-0008-0000-0200-000092160200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51" name="QRD">
            <a:extLst>
              <a:ext uri="{FF2B5EF4-FFF2-40B4-BE49-F238E27FC236}">
                <a16:creationId xmlns:a16="http://schemas.microsoft.com/office/drawing/2014/main" id="{00000000-0008-0000-0200-00009316020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52" name="QRD">
            <a:extLst>
              <a:ext uri="{FF2B5EF4-FFF2-40B4-BE49-F238E27FC236}">
                <a16:creationId xmlns:a16="http://schemas.microsoft.com/office/drawing/2014/main" id="{00000000-0008-0000-0200-000094160200}"/>
              </a:ext>
            </a:extLst>
          </xdr:cNvPr>
          <xdr:cNvSpPr/>
        </xdr:nvSpPr>
        <xdr:spPr>
          <a:xfrm>
            <a:off x="101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53" name="QRD">
            <a:extLst>
              <a:ext uri="{FF2B5EF4-FFF2-40B4-BE49-F238E27FC236}">
                <a16:creationId xmlns:a16="http://schemas.microsoft.com/office/drawing/2014/main" id="{00000000-0008-0000-0200-000095160200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54" name="QRD">
            <a:extLst>
              <a:ext uri="{FF2B5EF4-FFF2-40B4-BE49-F238E27FC236}">
                <a16:creationId xmlns:a16="http://schemas.microsoft.com/office/drawing/2014/main" id="{00000000-0008-0000-0200-000096160200}"/>
              </a:ext>
            </a:extLst>
          </xdr:cNvPr>
          <xdr:cNvSpPr/>
        </xdr:nvSpPr>
        <xdr:spPr>
          <a:xfrm>
            <a:off x="1270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55" name="QRD">
            <a:extLst>
              <a:ext uri="{FF2B5EF4-FFF2-40B4-BE49-F238E27FC236}">
                <a16:creationId xmlns:a16="http://schemas.microsoft.com/office/drawing/2014/main" id="{00000000-0008-0000-0200-000097160200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56" name="QRD">
            <a:extLst>
              <a:ext uri="{FF2B5EF4-FFF2-40B4-BE49-F238E27FC236}">
                <a16:creationId xmlns:a16="http://schemas.microsoft.com/office/drawing/2014/main" id="{00000000-0008-0000-0200-000098160200}"/>
              </a:ext>
            </a:extLst>
          </xdr:cNvPr>
          <xdr:cNvSpPr/>
        </xdr:nvSpPr>
        <xdr:spPr>
          <a:xfrm>
            <a:off x="1524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57" name="QRD">
            <a:extLst>
              <a:ext uri="{FF2B5EF4-FFF2-40B4-BE49-F238E27FC236}">
                <a16:creationId xmlns:a16="http://schemas.microsoft.com/office/drawing/2014/main" id="{00000000-0008-0000-0200-000099160200}"/>
              </a:ext>
            </a:extLst>
          </xdr:cNvPr>
          <xdr:cNvSpPr/>
        </xdr:nvSpPr>
        <xdr:spPr>
          <a:xfrm>
            <a:off x="1651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58" name="QRD">
            <a:extLst>
              <a:ext uri="{FF2B5EF4-FFF2-40B4-BE49-F238E27FC236}">
                <a16:creationId xmlns:a16="http://schemas.microsoft.com/office/drawing/2014/main" id="{00000000-0008-0000-0200-00009A160200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59" name="QRD">
            <a:extLst>
              <a:ext uri="{FF2B5EF4-FFF2-40B4-BE49-F238E27FC236}">
                <a16:creationId xmlns:a16="http://schemas.microsoft.com/office/drawing/2014/main" id="{00000000-0008-0000-0200-00009B160200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60" name="QRD">
            <a:extLst>
              <a:ext uri="{FF2B5EF4-FFF2-40B4-BE49-F238E27FC236}">
                <a16:creationId xmlns:a16="http://schemas.microsoft.com/office/drawing/2014/main" id="{00000000-0008-0000-0200-00009C160200}"/>
              </a:ext>
            </a:extLst>
          </xdr:cNvPr>
          <xdr:cNvSpPr/>
        </xdr:nvSpPr>
        <xdr:spPr>
          <a:xfrm>
            <a:off x="215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61" name="QRD">
            <a:extLst>
              <a:ext uri="{FF2B5EF4-FFF2-40B4-BE49-F238E27FC236}">
                <a16:creationId xmlns:a16="http://schemas.microsoft.com/office/drawing/2014/main" id="{00000000-0008-0000-0200-00009D160200}"/>
              </a:ext>
            </a:extLst>
          </xdr:cNvPr>
          <xdr:cNvSpPr/>
        </xdr:nvSpPr>
        <xdr:spPr>
          <a:xfrm>
            <a:off x="2667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62" name="QRD">
            <a:extLst>
              <a:ext uri="{FF2B5EF4-FFF2-40B4-BE49-F238E27FC236}">
                <a16:creationId xmlns:a16="http://schemas.microsoft.com/office/drawing/2014/main" id="{00000000-0008-0000-0200-00009E160200}"/>
              </a:ext>
            </a:extLst>
          </xdr:cNvPr>
          <xdr:cNvSpPr/>
        </xdr:nvSpPr>
        <xdr:spPr>
          <a:xfrm>
            <a:off x="2794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63" name="QRD">
            <a:extLst>
              <a:ext uri="{FF2B5EF4-FFF2-40B4-BE49-F238E27FC236}">
                <a16:creationId xmlns:a16="http://schemas.microsoft.com/office/drawing/2014/main" id="{00000000-0008-0000-0200-00009F160200}"/>
              </a:ext>
            </a:extLst>
          </xdr:cNvPr>
          <xdr:cNvSpPr/>
        </xdr:nvSpPr>
        <xdr:spPr>
          <a:xfrm>
            <a:off x="2921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64" name="QRD">
            <a:extLst>
              <a:ext uri="{FF2B5EF4-FFF2-40B4-BE49-F238E27FC236}">
                <a16:creationId xmlns:a16="http://schemas.microsoft.com/office/drawing/2014/main" id="{00000000-0008-0000-0200-0000A0160200}"/>
              </a:ext>
            </a:extLst>
          </xdr:cNvPr>
          <xdr:cNvSpPr/>
        </xdr:nvSpPr>
        <xdr:spPr>
          <a:xfrm>
            <a:off x="342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65" name="QRD">
            <a:extLst>
              <a:ext uri="{FF2B5EF4-FFF2-40B4-BE49-F238E27FC236}">
                <a16:creationId xmlns:a16="http://schemas.microsoft.com/office/drawing/2014/main" id="{00000000-0008-0000-0200-0000A1160200}"/>
              </a:ext>
            </a:extLst>
          </xdr:cNvPr>
          <xdr:cNvSpPr/>
        </xdr:nvSpPr>
        <xdr:spPr>
          <a:xfrm>
            <a:off x="4191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66" name="QRD">
            <a:extLst>
              <a:ext uri="{FF2B5EF4-FFF2-40B4-BE49-F238E27FC236}">
                <a16:creationId xmlns:a16="http://schemas.microsoft.com/office/drawing/2014/main" id="{00000000-0008-0000-0200-0000A2160200}"/>
              </a:ext>
            </a:extLst>
          </xdr:cNvPr>
          <xdr:cNvSpPr/>
        </xdr:nvSpPr>
        <xdr:spPr>
          <a:xfrm>
            <a:off x="431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67" name="QRD">
            <a:extLst>
              <a:ext uri="{FF2B5EF4-FFF2-40B4-BE49-F238E27FC236}">
                <a16:creationId xmlns:a16="http://schemas.microsoft.com/office/drawing/2014/main" id="{00000000-0008-0000-0200-0000A3160200}"/>
              </a:ext>
            </a:extLst>
          </xdr:cNvPr>
          <xdr:cNvSpPr/>
        </xdr:nvSpPr>
        <xdr:spPr>
          <a:xfrm>
            <a:off x="4445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68" name="QRD">
            <a:extLst>
              <a:ext uri="{FF2B5EF4-FFF2-40B4-BE49-F238E27FC236}">
                <a16:creationId xmlns:a16="http://schemas.microsoft.com/office/drawing/2014/main" id="{00000000-0008-0000-0200-0000A4160200}"/>
              </a:ext>
            </a:extLst>
          </xdr:cNvPr>
          <xdr:cNvSpPr/>
        </xdr:nvSpPr>
        <xdr:spPr>
          <a:xfrm>
            <a:off x="482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69" name="QRD">
            <a:extLst>
              <a:ext uri="{FF2B5EF4-FFF2-40B4-BE49-F238E27FC236}">
                <a16:creationId xmlns:a16="http://schemas.microsoft.com/office/drawing/2014/main" id="{00000000-0008-0000-0200-0000A5160200}"/>
              </a:ext>
            </a:extLst>
          </xdr:cNvPr>
          <xdr:cNvSpPr/>
        </xdr:nvSpPr>
        <xdr:spPr>
          <a:xfrm>
            <a:off x="4953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70" name="QRD">
            <a:extLst>
              <a:ext uri="{FF2B5EF4-FFF2-40B4-BE49-F238E27FC236}">
                <a16:creationId xmlns:a16="http://schemas.microsoft.com/office/drawing/2014/main" id="{00000000-0008-0000-0200-0000A6160200}"/>
              </a:ext>
            </a:extLst>
          </xdr:cNvPr>
          <xdr:cNvSpPr/>
        </xdr:nvSpPr>
        <xdr:spPr>
          <a:xfrm>
            <a:off x="5080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71" name="QRD">
            <a:extLst>
              <a:ext uri="{FF2B5EF4-FFF2-40B4-BE49-F238E27FC236}">
                <a16:creationId xmlns:a16="http://schemas.microsoft.com/office/drawing/2014/main" id="{00000000-0008-0000-0200-0000A7160200}"/>
              </a:ext>
            </a:extLst>
          </xdr:cNvPr>
          <xdr:cNvSpPr/>
        </xdr:nvSpPr>
        <xdr:spPr>
          <a:xfrm>
            <a:off x="25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72" name="QRD">
            <a:extLst>
              <a:ext uri="{FF2B5EF4-FFF2-40B4-BE49-F238E27FC236}">
                <a16:creationId xmlns:a16="http://schemas.microsoft.com/office/drawing/2014/main" id="{00000000-0008-0000-0200-0000A8160200}"/>
              </a:ext>
            </a:extLst>
          </xdr:cNvPr>
          <xdr:cNvSpPr/>
        </xdr:nvSpPr>
        <xdr:spPr>
          <a:xfrm>
            <a:off x="508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73" name="QRD">
            <a:extLst>
              <a:ext uri="{FF2B5EF4-FFF2-40B4-BE49-F238E27FC236}">
                <a16:creationId xmlns:a16="http://schemas.microsoft.com/office/drawing/2014/main" id="{00000000-0008-0000-0200-0000A9160200}"/>
              </a:ext>
            </a:extLst>
          </xdr:cNvPr>
          <xdr:cNvSpPr/>
        </xdr:nvSpPr>
        <xdr:spPr>
          <a:xfrm>
            <a:off x="635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74" name="QRD">
            <a:extLst>
              <a:ext uri="{FF2B5EF4-FFF2-40B4-BE49-F238E27FC236}">
                <a16:creationId xmlns:a16="http://schemas.microsoft.com/office/drawing/2014/main" id="{00000000-0008-0000-0200-0000AA160200}"/>
              </a:ext>
            </a:extLst>
          </xdr:cNvPr>
          <xdr:cNvSpPr/>
        </xdr:nvSpPr>
        <xdr:spPr>
          <a:xfrm>
            <a:off x="1016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75" name="QRD">
            <a:extLst>
              <a:ext uri="{FF2B5EF4-FFF2-40B4-BE49-F238E27FC236}">
                <a16:creationId xmlns:a16="http://schemas.microsoft.com/office/drawing/2014/main" id="{00000000-0008-0000-0200-0000AB160200}"/>
              </a:ext>
            </a:extLst>
          </xdr:cNvPr>
          <xdr:cNvSpPr/>
        </xdr:nvSpPr>
        <xdr:spPr>
          <a:xfrm>
            <a:off x="127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76" name="QRD">
            <a:extLst>
              <a:ext uri="{FF2B5EF4-FFF2-40B4-BE49-F238E27FC236}">
                <a16:creationId xmlns:a16="http://schemas.microsoft.com/office/drawing/2014/main" id="{00000000-0008-0000-0200-0000AC160200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77" name="QRD">
            <a:extLst>
              <a:ext uri="{FF2B5EF4-FFF2-40B4-BE49-F238E27FC236}">
                <a16:creationId xmlns:a16="http://schemas.microsoft.com/office/drawing/2014/main" id="{00000000-0008-0000-0200-0000AD160200}"/>
              </a:ext>
            </a:extLst>
          </xdr:cNvPr>
          <xdr:cNvSpPr/>
        </xdr:nvSpPr>
        <xdr:spPr>
          <a:xfrm>
            <a:off x="1651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78" name="QRD">
            <a:extLst>
              <a:ext uri="{FF2B5EF4-FFF2-40B4-BE49-F238E27FC236}">
                <a16:creationId xmlns:a16="http://schemas.microsoft.com/office/drawing/2014/main" id="{00000000-0008-0000-0200-0000AE160200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79" name="QRD">
            <a:extLst>
              <a:ext uri="{FF2B5EF4-FFF2-40B4-BE49-F238E27FC236}">
                <a16:creationId xmlns:a16="http://schemas.microsoft.com/office/drawing/2014/main" id="{00000000-0008-0000-0200-0000AF160200}"/>
              </a:ext>
            </a:extLst>
          </xdr:cNvPr>
          <xdr:cNvSpPr/>
        </xdr:nvSpPr>
        <xdr:spPr>
          <a:xfrm>
            <a:off x="2159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80" name="QRD">
            <a:extLst>
              <a:ext uri="{FF2B5EF4-FFF2-40B4-BE49-F238E27FC236}">
                <a16:creationId xmlns:a16="http://schemas.microsoft.com/office/drawing/2014/main" id="{00000000-0008-0000-0200-0000B0160200}"/>
              </a:ext>
            </a:extLst>
          </xdr:cNvPr>
          <xdr:cNvSpPr/>
        </xdr:nvSpPr>
        <xdr:spPr>
          <a:xfrm>
            <a:off x="254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81" name="QRD">
            <a:extLst>
              <a:ext uri="{FF2B5EF4-FFF2-40B4-BE49-F238E27FC236}">
                <a16:creationId xmlns:a16="http://schemas.microsoft.com/office/drawing/2014/main" id="{00000000-0008-0000-0200-0000B1160200}"/>
              </a:ext>
            </a:extLst>
          </xdr:cNvPr>
          <xdr:cNvSpPr/>
        </xdr:nvSpPr>
        <xdr:spPr>
          <a:xfrm>
            <a:off x="266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82" name="QRD">
            <a:extLst>
              <a:ext uri="{FF2B5EF4-FFF2-40B4-BE49-F238E27FC236}">
                <a16:creationId xmlns:a16="http://schemas.microsoft.com/office/drawing/2014/main" id="{00000000-0008-0000-0200-0000B2160200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83" name="QRD">
            <a:extLst>
              <a:ext uri="{FF2B5EF4-FFF2-40B4-BE49-F238E27FC236}">
                <a16:creationId xmlns:a16="http://schemas.microsoft.com/office/drawing/2014/main" id="{00000000-0008-0000-0200-0000B3160200}"/>
              </a:ext>
            </a:extLst>
          </xdr:cNvPr>
          <xdr:cNvSpPr/>
        </xdr:nvSpPr>
        <xdr:spPr>
          <a:xfrm>
            <a:off x="3302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84" name="QRD">
            <a:extLst>
              <a:ext uri="{FF2B5EF4-FFF2-40B4-BE49-F238E27FC236}">
                <a16:creationId xmlns:a16="http://schemas.microsoft.com/office/drawing/2014/main" id="{00000000-0008-0000-0200-0000B4160200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85" name="QRD">
            <a:extLst>
              <a:ext uri="{FF2B5EF4-FFF2-40B4-BE49-F238E27FC236}">
                <a16:creationId xmlns:a16="http://schemas.microsoft.com/office/drawing/2014/main" id="{00000000-0008-0000-0200-0000B5160200}"/>
              </a:ext>
            </a:extLst>
          </xdr:cNvPr>
          <xdr:cNvSpPr/>
        </xdr:nvSpPr>
        <xdr:spPr>
          <a:xfrm>
            <a:off x="3556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86" name="QRD">
            <a:extLst>
              <a:ext uri="{FF2B5EF4-FFF2-40B4-BE49-F238E27FC236}">
                <a16:creationId xmlns:a16="http://schemas.microsoft.com/office/drawing/2014/main" id="{00000000-0008-0000-0200-0000B6160200}"/>
              </a:ext>
            </a:extLst>
          </xdr:cNvPr>
          <xdr:cNvSpPr/>
        </xdr:nvSpPr>
        <xdr:spPr>
          <a:xfrm>
            <a:off x="3683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87" name="QRD">
            <a:extLst>
              <a:ext uri="{FF2B5EF4-FFF2-40B4-BE49-F238E27FC236}">
                <a16:creationId xmlns:a16="http://schemas.microsoft.com/office/drawing/2014/main" id="{00000000-0008-0000-0200-0000B7160200}"/>
              </a:ext>
            </a:extLst>
          </xdr:cNvPr>
          <xdr:cNvSpPr/>
        </xdr:nvSpPr>
        <xdr:spPr>
          <a:xfrm>
            <a:off x="4318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88" name="QRD">
            <a:extLst>
              <a:ext uri="{FF2B5EF4-FFF2-40B4-BE49-F238E27FC236}">
                <a16:creationId xmlns:a16="http://schemas.microsoft.com/office/drawing/2014/main" id="{00000000-0008-0000-0200-0000B8160200}"/>
              </a:ext>
            </a:extLst>
          </xdr:cNvPr>
          <xdr:cNvSpPr/>
        </xdr:nvSpPr>
        <xdr:spPr>
          <a:xfrm>
            <a:off x="4445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89" name="QRD">
            <a:extLst>
              <a:ext uri="{FF2B5EF4-FFF2-40B4-BE49-F238E27FC236}">
                <a16:creationId xmlns:a16="http://schemas.microsoft.com/office/drawing/2014/main" id="{00000000-0008-0000-0200-0000B9160200}"/>
              </a:ext>
            </a:extLst>
          </xdr:cNvPr>
          <xdr:cNvSpPr/>
        </xdr:nvSpPr>
        <xdr:spPr>
          <a:xfrm>
            <a:off x="4953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90" name="QRD">
            <a:extLst>
              <a:ext uri="{FF2B5EF4-FFF2-40B4-BE49-F238E27FC236}">
                <a16:creationId xmlns:a16="http://schemas.microsoft.com/office/drawing/2014/main" id="{00000000-0008-0000-0200-0000BA160200}"/>
              </a:ext>
            </a:extLst>
          </xdr:cNvPr>
          <xdr:cNvSpPr/>
        </xdr:nvSpPr>
        <xdr:spPr>
          <a:xfrm>
            <a:off x="508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91" name="QRD">
            <a:extLst>
              <a:ext uri="{FF2B5EF4-FFF2-40B4-BE49-F238E27FC236}">
                <a16:creationId xmlns:a16="http://schemas.microsoft.com/office/drawing/2014/main" id="{00000000-0008-0000-0200-0000BB160200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92" name="QRD">
            <a:extLst>
              <a:ext uri="{FF2B5EF4-FFF2-40B4-BE49-F238E27FC236}">
                <a16:creationId xmlns:a16="http://schemas.microsoft.com/office/drawing/2014/main" id="{00000000-0008-0000-0200-0000BC160200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93" name="QRD">
            <a:extLst>
              <a:ext uri="{FF2B5EF4-FFF2-40B4-BE49-F238E27FC236}">
                <a16:creationId xmlns:a16="http://schemas.microsoft.com/office/drawing/2014/main" id="{00000000-0008-0000-0200-0000BD160200}"/>
              </a:ext>
            </a:extLst>
          </xdr:cNvPr>
          <xdr:cNvSpPr/>
        </xdr:nvSpPr>
        <xdr:spPr>
          <a:xfrm>
            <a:off x="63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94" name="QRD">
            <a:extLst>
              <a:ext uri="{FF2B5EF4-FFF2-40B4-BE49-F238E27FC236}">
                <a16:creationId xmlns:a16="http://schemas.microsoft.com/office/drawing/2014/main" id="{00000000-0008-0000-0200-0000BE160200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95" name="QRD">
            <a:extLst>
              <a:ext uri="{FF2B5EF4-FFF2-40B4-BE49-F238E27FC236}">
                <a16:creationId xmlns:a16="http://schemas.microsoft.com/office/drawing/2014/main" id="{00000000-0008-0000-0200-0000BF160200}"/>
              </a:ext>
            </a:extLst>
          </xdr:cNvPr>
          <xdr:cNvSpPr/>
        </xdr:nvSpPr>
        <xdr:spPr>
          <a:xfrm>
            <a:off x="1016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96" name="QRD">
            <a:extLst>
              <a:ext uri="{FF2B5EF4-FFF2-40B4-BE49-F238E27FC236}">
                <a16:creationId xmlns:a16="http://schemas.microsoft.com/office/drawing/2014/main" id="{00000000-0008-0000-0200-0000C0160200}"/>
              </a:ext>
            </a:extLst>
          </xdr:cNvPr>
          <xdr:cNvSpPr/>
        </xdr:nvSpPr>
        <xdr:spPr>
          <a:xfrm>
            <a:off x="1143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97" name="QRD">
            <a:extLst>
              <a:ext uri="{FF2B5EF4-FFF2-40B4-BE49-F238E27FC236}">
                <a16:creationId xmlns:a16="http://schemas.microsoft.com/office/drawing/2014/main" id="{00000000-0008-0000-0200-0000C1160200}"/>
              </a:ext>
            </a:extLst>
          </xdr:cNvPr>
          <xdr:cNvSpPr/>
        </xdr:nvSpPr>
        <xdr:spPr>
          <a:xfrm>
            <a:off x="1651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98" name="QRD">
            <a:extLst>
              <a:ext uri="{FF2B5EF4-FFF2-40B4-BE49-F238E27FC236}">
                <a16:creationId xmlns:a16="http://schemas.microsoft.com/office/drawing/2014/main" id="{00000000-0008-0000-0200-0000C2160200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99" name="QRD">
            <a:extLst>
              <a:ext uri="{FF2B5EF4-FFF2-40B4-BE49-F238E27FC236}">
                <a16:creationId xmlns:a16="http://schemas.microsoft.com/office/drawing/2014/main" id="{00000000-0008-0000-0200-0000C3160200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00" name="QRD">
            <a:extLst>
              <a:ext uri="{FF2B5EF4-FFF2-40B4-BE49-F238E27FC236}">
                <a16:creationId xmlns:a16="http://schemas.microsoft.com/office/drawing/2014/main" id="{00000000-0008-0000-0200-0000C4160200}"/>
              </a:ext>
            </a:extLst>
          </xdr:cNvPr>
          <xdr:cNvSpPr/>
        </xdr:nvSpPr>
        <xdr:spPr>
          <a:xfrm>
            <a:off x="2413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01" name="QRD">
            <a:extLst>
              <a:ext uri="{FF2B5EF4-FFF2-40B4-BE49-F238E27FC236}">
                <a16:creationId xmlns:a16="http://schemas.microsoft.com/office/drawing/2014/main" id="{00000000-0008-0000-0200-0000C5160200}"/>
              </a:ext>
            </a:extLst>
          </xdr:cNvPr>
          <xdr:cNvSpPr/>
        </xdr:nvSpPr>
        <xdr:spPr>
          <a:xfrm>
            <a:off x="2667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02" name="QRD">
            <a:extLst>
              <a:ext uri="{FF2B5EF4-FFF2-40B4-BE49-F238E27FC236}">
                <a16:creationId xmlns:a16="http://schemas.microsoft.com/office/drawing/2014/main" id="{00000000-0008-0000-0200-0000C6160200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03" name="QRD">
            <a:extLst>
              <a:ext uri="{FF2B5EF4-FFF2-40B4-BE49-F238E27FC236}">
                <a16:creationId xmlns:a16="http://schemas.microsoft.com/office/drawing/2014/main" id="{00000000-0008-0000-0200-0000C7160200}"/>
              </a:ext>
            </a:extLst>
          </xdr:cNvPr>
          <xdr:cNvSpPr/>
        </xdr:nvSpPr>
        <xdr:spPr>
          <a:xfrm>
            <a:off x="3429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04" name="QRD">
            <a:extLst>
              <a:ext uri="{FF2B5EF4-FFF2-40B4-BE49-F238E27FC236}">
                <a16:creationId xmlns:a16="http://schemas.microsoft.com/office/drawing/2014/main" id="{00000000-0008-0000-0200-0000C8160200}"/>
              </a:ext>
            </a:extLst>
          </xdr:cNvPr>
          <xdr:cNvSpPr/>
        </xdr:nvSpPr>
        <xdr:spPr>
          <a:xfrm>
            <a:off x="3556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05" name="QRD">
            <a:extLst>
              <a:ext uri="{FF2B5EF4-FFF2-40B4-BE49-F238E27FC236}">
                <a16:creationId xmlns:a16="http://schemas.microsoft.com/office/drawing/2014/main" id="{00000000-0008-0000-0200-0000C9160200}"/>
              </a:ext>
            </a:extLst>
          </xdr:cNvPr>
          <xdr:cNvSpPr/>
        </xdr:nvSpPr>
        <xdr:spPr>
          <a:xfrm>
            <a:off x="3683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06" name="QRD">
            <a:extLst>
              <a:ext uri="{FF2B5EF4-FFF2-40B4-BE49-F238E27FC236}">
                <a16:creationId xmlns:a16="http://schemas.microsoft.com/office/drawing/2014/main" id="{00000000-0008-0000-0200-0000CA160200}"/>
              </a:ext>
            </a:extLst>
          </xdr:cNvPr>
          <xdr:cNvSpPr/>
        </xdr:nvSpPr>
        <xdr:spPr>
          <a:xfrm>
            <a:off x="406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07" name="QRD">
            <a:extLst>
              <a:ext uri="{FF2B5EF4-FFF2-40B4-BE49-F238E27FC236}">
                <a16:creationId xmlns:a16="http://schemas.microsoft.com/office/drawing/2014/main" id="{00000000-0008-0000-0200-0000CB160200}"/>
              </a:ext>
            </a:extLst>
          </xdr:cNvPr>
          <xdr:cNvSpPr/>
        </xdr:nvSpPr>
        <xdr:spPr>
          <a:xfrm>
            <a:off x="444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08" name="QRD">
            <a:extLst>
              <a:ext uri="{FF2B5EF4-FFF2-40B4-BE49-F238E27FC236}">
                <a16:creationId xmlns:a16="http://schemas.microsoft.com/office/drawing/2014/main" id="{00000000-0008-0000-0200-0000CC160200}"/>
              </a:ext>
            </a:extLst>
          </xdr:cNvPr>
          <xdr:cNvSpPr/>
        </xdr:nvSpPr>
        <xdr:spPr>
          <a:xfrm>
            <a:off x="12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09" name="QRD">
            <a:extLst>
              <a:ext uri="{FF2B5EF4-FFF2-40B4-BE49-F238E27FC236}">
                <a16:creationId xmlns:a16="http://schemas.microsoft.com/office/drawing/2014/main" id="{00000000-0008-0000-0200-0000CD160200}"/>
              </a:ext>
            </a:extLst>
          </xdr:cNvPr>
          <xdr:cNvSpPr/>
        </xdr:nvSpPr>
        <xdr:spPr>
          <a:xfrm>
            <a:off x="25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10" name="QRD">
            <a:extLst>
              <a:ext uri="{FF2B5EF4-FFF2-40B4-BE49-F238E27FC236}">
                <a16:creationId xmlns:a16="http://schemas.microsoft.com/office/drawing/2014/main" id="{00000000-0008-0000-0200-0000CE160200}"/>
              </a:ext>
            </a:extLst>
          </xdr:cNvPr>
          <xdr:cNvSpPr/>
        </xdr:nvSpPr>
        <xdr:spPr>
          <a:xfrm>
            <a:off x="381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11" name="QRD">
            <a:extLst>
              <a:ext uri="{FF2B5EF4-FFF2-40B4-BE49-F238E27FC236}">
                <a16:creationId xmlns:a16="http://schemas.microsoft.com/office/drawing/2014/main" id="{00000000-0008-0000-0200-0000CF160200}"/>
              </a:ext>
            </a:extLst>
          </xdr:cNvPr>
          <xdr:cNvSpPr/>
        </xdr:nvSpPr>
        <xdr:spPr>
          <a:xfrm>
            <a:off x="508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12" name="QRD">
            <a:extLst>
              <a:ext uri="{FF2B5EF4-FFF2-40B4-BE49-F238E27FC236}">
                <a16:creationId xmlns:a16="http://schemas.microsoft.com/office/drawing/2014/main" id="{00000000-0008-0000-0200-0000D0160200}"/>
              </a:ext>
            </a:extLst>
          </xdr:cNvPr>
          <xdr:cNvSpPr/>
        </xdr:nvSpPr>
        <xdr:spPr>
          <a:xfrm>
            <a:off x="889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13" name="QRD">
            <a:extLst>
              <a:ext uri="{FF2B5EF4-FFF2-40B4-BE49-F238E27FC236}">
                <a16:creationId xmlns:a16="http://schemas.microsoft.com/office/drawing/2014/main" id="{00000000-0008-0000-0200-0000D1160200}"/>
              </a:ext>
            </a:extLst>
          </xdr:cNvPr>
          <xdr:cNvSpPr/>
        </xdr:nvSpPr>
        <xdr:spPr>
          <a:xfrm>
            <a:off x="1016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14" name="QRD">
            <a:extLst>
              <a:ext uri="{FF2B5EF4-FFF2-40B4-BE49-F238E27FC236}">
                <a16:creationId xmlns:a16="http://schemas.microsoft.com/office/drawing/2014/main" id="{00000000-0008-0000-0200-0000D2160200}"/>
              </a:ext>
            </a:extLst>
          </xdr:cNvPr>
          <xdr:cNvSpPr/>
        </xdr:nvSpPr>
        <xdr:spPr>
          <a:xfrm>
            <a:off x="114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15" name="QRD">
            <a:extLst>
              <a:ext uri="{FF2B5EF4-FFF2-40B4-BE49-F238E27FC236}">
                <a16:creationId xmlns:a16="http://schemas.microsoft.com/office/drawing/2014/main" id="{00000000-0008-0000-0200-0000D3160200}"/>
              </a:ext>
            </a:extLst>
          </xdr:cNvPr>
          <xdr:cNvSpPr/>
        </xdr:nvSpPr>
        <xdr:spPr>
          <a:xfrm>
            <a:off x="152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16" name="QRD">
            <a:extLst>
              <a:ext uri="{FF2B5EF4-FFF2-40B4-BE49-F238E27FC236}">
                <a16:creationId xmlns:a16="http://schemas.microsoft.com/office/drawing/2014/main" id="{00000000-0008-0000-0200-0000D4160200}"/>
              </a:ext>
            </a:extLst>
          </xdr:cNvPr>
          <xdr:cNvSpPr/>
        </xdr:nvSpPr>
        <xdr:spPr>
          <a:xfrm>
            <a:off x="1651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17" name="QRD">
            <a:extLst>
              <a:ext uri="{FF2B5EF4-FFF2-40B4-BE49-F238E27FC236}">
                <a16:creationId xmlns:a16="http://schemas.microsoft.com/office/drawing/2014/main" id="{00000000-0008-0000-0200-0000D5160200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18" name="QRD">
            <a:extLst>
              <a:ext uri="{FF2B5EF4-FFF2-40B4-BE49-F238E27FC236}">
                <a16:creationId xmlns:a16="http://schemas.microsoft.com/office/drawing/2014/main" id="{00000000-0008-0000-0200-0000D6160200}"/>
              </a:ext>
            </a:extLst>
          </xdr:cNvPr>
          <xdr:cNvSpPr/>
        </xdr:nvSpPr>
        <xdr:spPr>
          <a:xfrm>
            <a:off x="2540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19" name="QRD">
            <a:extLst>
              <a:ext uri="{FF2B5EF4-FFF2-40B4-BE49-F238E27FC236}">
                <a16:creationId xmlns:a16="http://schemas.microsoft.com/office/drawing/2014/main" id="{00000000-0008-0000-0200-0000D7160200}"/>
              </a:ext>
            </a:extLst>
          </xdr:cNvPr>
          <xdr:cNvSpPr/>
        </xdr:nvSpPr>
        <xdr:spPr>
          <a:xfrm>
            <a:off x="279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20" name="QRD">
            <a:extLst>
              <a:ext uri="{FF2B5EF4-FFF2-40B4-BE49-F238E27FC236}">
                <a16:creationId xmlns:a16="http://schemas.microsoft.com/office/drawing/2014/main" id="{00000000-0008-0000-0200-0000D8160200}"/>
              </a:ext>
            </a:extLst>
          </xdr:cNvPr>
          <xdr:cNvSpPr/>
        </xdr:nvSpPr>
        <xdr:spPr>
          <a:xfrm>
            <a:off x="3175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21" name="QRD">
            <a:extLst>
              <a:ext uri="{FF2B5EF4-FFF2-40B4-BE49-F238E27FC236}">
                <a16:creationId xmlns:a16="http://schemas.microsoft.com/office/drawing/2014/main" id="{00000000-0008-0000-0200-0000D9160200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22" name="QRD">
            <a:extLst>
              <a:ext uri="{FF2B5EF4-FFF2-40B4-BE49-F238E27FC236}">
                <a16:creationId xmlns:a16="http://schemas.microsoft.com/office/drawing/2014/main" id="{00000000-0008-0000-0200-0000DA160200}"/>
              </a:ext>
            </a:extLst>
          </xdr:cNvPr>
          <xdr:cNvSpPr/>
        </xdr:nvSpPr>
        <xdr:spPr>
          <a:xfrm>
            <a:off x="3429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23" name="QRD">
            <a:extLst>
              <a:ext uri="{FF2B5EF4-FFF2-40B4-BE49-F238E27FC236}">
                <a16:creationId xmlns:a16="http://schemas.microsoft.com/office/drawing/2014/main" id="{00000000-0008-0000-0200-0000DB160200}"/>
              </a:ext>
            </a:extLst>
          </xdr:cNvPr>
          <xdr:cNvSpPr/>
        </xdr:nvSpPr>
        <xdr:spPr>
          <a:xfrm>
            <a:off x="3810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24" name="QRD">
            <a:extLst>
              <a:ext uri="{FF2B5EF4-FFF2-40B4-BE49-F238E27FC236}">
                <a16:creationId xmlns:a16="http://schemas.microsoft.com/office/drawing/2014/main" id="{00000000-0008-0000-0200-0000DC160200}"/>
              </a:ext>
            </a:extLst>
          </xdr:cNvPr>
          <xdr:cNvSpPr/>
        </xdr:nvSpPr>
        <xdr:spPr>
          <a:xfrm>
            <a:off x="393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25" name="QRD">
            <a:extLst>
              <a:ext uri="{FF2B5EF4-FFF2-40B4-BE49-F238E27FC236}">
                <a16:creationId xmlns:a16="http://schemas.microsoft.com/office/drawing/2014/main" id="{00000000-0008-0000-0200-0000DD160200}"/>
              </a:ext>
            </a:extLst>
          </xdr:cNvPr>
          <xdr:cNvSpPr/>
        </xdr:nvSpPr>
        <xdr:spPr>
          <a:xfrm>
            <a:off x="4191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26" name="QRD">
            <a:extLst>
              <a:ext uri="{FF2B5EF4-FFF2-40B4-BE49-F238E27FC236}">
                <a16:creationId xmlns:a16="http://schemas.microsoft.com/office/drawing/2014/main" id="{00000000-0008-0000-0200-0000DE160200}"/>
              </a:ext>
            </a:extLst>
          </xdr:cNvPr>
          <xdr:cNvSpPr/>
        </xdr:nvSpPr>
        <xdr:spPr>
          <a:xfrm>
            <a:off x="4318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27" name="QRD">
            <a:extLst>
              <a:ext uri="{FF2B5EF4-FFF2-40B4-BE49-F238E27FC236}">
                <a16:creationId xmlns:a16="http://schemas.microsoft.com/office/drawing/2014/main" id="{00000000-0008-0000-0200-0000DF160200}"/>
              </a:ext>
            </a:extLst>
          </xdr:cNvPr>
          <xdr:cNvSpPr/>
        </xdr:nvSpPr>
        <xdr:spPr>
          <a:xfrm>
            <a:off x="4572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28" name="QRD">
            <a:extLst>
              <a:ext uri="{FF2B5EF4-FFF2-40B4-BE49-F238E27FC236}">
                <a16:creationId xmlns:a16="http://schemas.microsoft.com/office/drawing/2014/main" id="{00000000-0008-0000-0200-0000E0160200}"/>
              </a:ext>
            </a:extLst>
          </xdr:cNvPr>
          <xdr:cNvSpPr/>
        </xdr:nvSpPr>
        <xdr:spPr>
          <a:xfrm>
            <a:off x="4699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29" name="QRD">
            <a:extLst>
              <a:ext uri="{FF2B5EF4-FFF2-40B4-BE49-F238E27FC236}">
                <a16:creationId xmlns:a16="http://schemas.microsoft.com/office/drawing/2014/main" id="{00000000-0008-0000-0200-0000E1160200}"/>
              </a:ext>
            </a:extLst>
          </xdr:cNvPr>
          <xdr:cNvSpPr/>
        </xdr:nvSpPr>
        <xdr:spPr>
          <a:xfrm>
            <a:off x="495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30" name="QRD">
            <a:extLst>
              <a:ext uri="{FF2B5EF4-FFF2-40B4-BE49-F238E27FC236}">
                <a16:creationId xmlns:a16="http://schemas.microsoft.com/office/drawing/2014/main" id="{00000000-0008-0000-0200-0000E2160200}"/>
              </a:ext>
            </a:extLst>
          </xdr:cNvPr>
          <xdr:cNvSpPr/>
        </xdr:nvSpPr>
        <xdr:spPr>
          <a:xfrm>
            <a:off x="5080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31" name="QRD">
            <a:extLst>
              <a:ext uri="{FF2B5EF4-FFF2-40B4-BE49-F238E27FC236}">
                <a16:creationId xmlns:a16="http://schemas.microsoft.com/office/drawing/2014/main" id="{00000000-0008-0000-0200-0000E3160200}"/>
              </a:ext>
            </a:extLst>
          </xdr:cNvPr>
          <xdr:cNvSpPr/>
        </xdr:nvSpPr>
        <xdr:spPr>
          <a:xfrm>
            <a:off x="12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32" name="QRD">
            <a:extLst>
              <a:ext uri="{FF2B5EF4-FFF2-40B4-BE49-F238E27FC236}">
                <a16:creationId xmlns:a16="http://schemas.microsoft.com/office/drawing/2014/main" id="{00000000-0008-0000-0200-0000E4160200}"/>
              </a:ext>
            </a:extLst>
          </xdr:cNvPr>
          <xdr:cNvSpPr/>
        </xdr:nvSpPr>
        <xdr:spPr>
          <a:xfrm>
            <a:off x="381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33" name="QRD">
            <a:extLst>
              <a:ext uri="{FF2B5EF4-FFF2-40B4-BE49-F238E27FC236}">
                <a16:creationId xmlns:a16="http://schemas.microsoft.com/office/drawing/2014/main" id="{00000000-0008-0000-0200-0000E5160200}"/>
              </a:ext>
            </a:extLst>
          </xdr:cNvPr>
          <xdr:cNvSpPr/>
        </xdr:nvSpPr>
        <xdr:spPr>
          <a:xfrm>
            <a:off x="508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34" name="QRD">
            <a:extLst>
              <a:ext uri="{FF2B5EF4-FFF2-40B4-BE49-F238E27FC236}">
                <a16:creationId xmlns:a16="http://schemas.microsoft.com/office/drawing/2014/main" id="{00000000-0008-0000-0200-0000E6160200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35" name="QRD">
            <a:extLst>
              <a:ext uri="{FF2B5EF4-FFF2-40B4-BE49-F238E27FC236}">
                <a16:creationId xmlns:a16="http://schemas.microsoft.com/office/drawing/2014/main" id="{00000000-0008-0000-0200-0000E7160200}"/>
              </a:ext>
            </a:extLst>
          </xdr:cNvPr>
          <xdr:cNvSpPr/>
        </xdr:nvSpPr>
        <xdr:spPr>
          <a:xfrm>
            <a:off x="889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36" name="QRD">
            <a:extLst>
              <a:ext uri="{FF2B5EF4-FFF2-40B4-BE49-F238E27FC236}">
                <a16:creationId xmlns:a16="http://schemas.microsoft.com/office/drawing/2014/main" id="{00000000-0008-0000-0200-0000E8160200}"/>
              </a:ext>
            </a:extLst>
          </xdr:cNvPr>
          <xdr:cNvSpPr/>
        </xdr:nvSpPr>
        <xdr:spPr>
          <a:xfrm>
            <a:off x="1143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37" name="QRD">
            <a:extLst>
              <a:ext uri="{FF2B5EF4-FFF2-40B4-BE49-F238E27FC236}">
                <a16:creationId xmlns:a16="http://schemas.microsoft.com/office/drawing/2014/main" id="{00000000-0008-0000-0200-0000E9160200}"/>
              </a:ext>
            </a:extLst>
          </xdr:cNvPr>
          <xdr:cNvSpPr/>
        </xdr:nvSpPr>
        <xdr:spPr>
          <a:xfrm>
            <a:off x="1270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38" name="QRD">
            <a:extLst>
              <a:ext uri="{FF2B5EF4-FFF2-40B4-BE49-F238E27FC236}">
                <a16:creationId xmlns:a16="http://schemas.microsoft.com/office/drawing/2014/main" id="{00000000-0008-0000-0200-0000EA160200}"/>
              </a:ext>
            </a:extLst>
          </xdr:cNvPr>
          <xdr:cNvSpPr/>
        </xdr:nvSpPr>
        <xdr:spPr>
          <a:xfrm>
            <a:off x="139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39" name="QRD">
            <a:extLst>
              <a:ext uri="{FF2B5EF4-FFF2-40B4-BE49-F238E27FC236}">
                <a16:creationId xmlns:a16="http://schemas.microsoft.com/office/drawing/2014/main" id="{00000000-0008-0000-0200-0000EB160200}"/>
              </a:ext>
            </a:extLst>
          </xdr:cNvPr>
          <xdr:cNvSpPr/>
        </xdr:nvSpPr>
        <xdr:spPr>
          <a:xfrm>
            <a:off x="1524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40" name="QRD">
            <a:extLst>
              <a:ext uri="{FF2B5EF4-FFF2-40B4-BE49-F238E27FC236}">
                <a16:creationId xmlns:a16="http://schemas.microsoft.com/office/drawing/2014/main" id="{00000000-0008-0000-0200-0000EC160200}"/>
              </a:ext>
            </a:extLst>
          </xdr:cNvPr>
          <xdr:cNvSpPr/>
        </xdr:nvSpPr>
        <xdr:spPr>
          <a:xfrm>
            <a:off x="1651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41" name="QRD">
            <a:extLst>
              <a:ext uri="{FF2B5EF4-FFF2-40B4-BE49-F238E27FC236}">
                <a16:creationId xmlns:a16="http://schemas.microsoft.com/office/drawing/2014/main" id="{00000000-0008-0000-0200-0000ED160200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42" name="QRD">
            <a:extLst>
              <a:ext uri="{FF2B5EF4-FFF2-40B4-BE49-F238E27FC236}">
                <a16:creationId xmlns:a16="http://schemas.microsoft.com/office/drawing/2014/main" id="{00000000-0008-0000-0200-0000EE160200}"/>
              </a:ext>
            </a:extLst>
          </xdr:cNvPr>
          <xdr:cNvSpPr/>
        </xdr:nvSpPr>
        <xdr:spPr>
          <a:xfrm>
            <a:off x="203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43" name="QRD">
            <a:extLst>
              <a:ext uri="{FF2B5EF4-FFF2-40B4-BE49-F238E27FC236}">
                <a16:creationId xmlns:a16="http://schemas.microsoft.com/office/drawing/2014/main" id="{00000000-0008-0000-0200-0000EF160200}"/>
              </a:ext>
            </a:extLst>
          </xdr:cNvPr>
          <xdr:cNvSpPr/>
        </xdr:nvSpPr>
        <xdr:spPr>
          <a:xfrm>
            <a:off x="266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44" name="QRD">
            <a:extLst>
              <a:ext uri="{FF2B5EF4-FFF2-40B4-BE49-F238E27FC236}">
                <a16:creationId xmlns:a16="http://schemas.microsoft.com/office/drawing/2014/main" id="{00000000-0008-0000-0200-0000F0160200}"/>
              </a:ext>
            </a:extLst>
          </xdr:cNvPr>
          <xdr:cNvSpPr/>
        </xdr:nvSpPr>
        <xdr:spPr>
          <a:xfrm>
            <a:off x="2921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45" name="QRD">
            <a:extLst>
              <a:ext uri="{FF2B5EF4-FFF2-40B4-BE49-F238E27FC236}">
                <a16:creationId xmlns:a16="http://schemas.microsoft.com/office/drawing/2014/main" id="{00000000-0008-0000-0200-0000F1160200}"/>
              </a:ext>
            </a:extLst>
          </xdr:cNvPr>
          <xdr:cNvSpPr/>
        </xdr:nvSpPr>
        <xdr:spPr>
          <a:xfrm>
            <a:off x="3048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46" name="QRD">
            <a:extLst>
              <a:ext uri="{FF2B5EF4-FFF2-40B4-BE49-F238E27FC236}">
                <a16:creationId xmlns:a16="http://schemas.microsoft.com/office/drawing/2014/main" id="{00000000-0008-0000-0200-0000F2160200}"/>
              </a:ext>
            </a:extLst>
          </xdr:cNvPr>
          <xdr:cNvSpPr/>
        </xdr:nvSpPr>
        <xdr:spPr>
          <a:xfrm>
            <a:off x="3429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47" name="QRD">
            <a:extLst>
              <a:ext uri="{FF2B5EF4-FFF2-40B4-BE49-F238E27FC236}">
                <a16:creationId xmlns:a16="http://schemas.microsoft.com/office/drawing/2014/main" id="{00000000-0008-0000-0200-0000F3160200}"/>
              </a:ext>
            </a:extLst>
          </xdr:cNvPr>
          <xdr:cNvSpPr/>
        </xdr:nvSpPr>
        <xdr:spPr>
          <a:xfrm>
            <a:off x="3556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48" name="QRD">
            <a:extLst>
              <a:ext uri="{FF2B5EF4-FFF2-40B4-BE49-F238E27FC236}">
                <a16:creationId xmlns:a16="http://schemas.microsoft.com/office/drawing/2014/main" id="{00000000-0008-0000-0200-0000F4160200}"/>
              </a:ext>
            </a:extLst>
          </xdr:cNvPr>
          <xdr:cNvSpPr/>
        </xdr:nvSpPr>
        <xdr:spPr>
          <a:xfrm>
            <a:off x="4191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49" name="QRD">
            <a:extLst>
              <a:ext uri="{FF2B5EF4-FFF2-40B4-BE49-F238E27FC236}">
                <a16:creationId xmlns:a16="http://schemas.microsoft.com/office/drawing/2014/main" id="{00000000-0008-0000-0200-0000F5160200}"/>
              </a:ext>
            </a:extLst>
          </xdr:cNvPr>
          <xdr:cNvSpPr/>
        </xdr:nvSpPr>
        <xdr:spPr>
          <a:xfrm>
            <a:off x="4318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50" name="QRD">
            <a:extLst>
              <a:ext uri="{FF2B5EF4-FFF2-40B4-BE49-F238E27FC236}">
                <a16:creationId xmlns:a16="http://schemas.microsoft.com/office/drawing/2014/main" id="{00000000-0008-0000-0200-0000F6160200}"/>
              </a:ext>
            </a:extLst>
          </xdr:cNvPr>
          <xdr:cNvSpPr/>
        </xdr:nvSpPr>
        <xdr:spPr>
          <a:xfrm>
            <a:off x="457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51" name="QRD">
            <a:extLst>
              <a:ext uri="{FF2B5EF4-FFF2-40B4-BE49-F238E27FC236}">
                <a16:creationId xmlns:a16="http://schemas.microsoft.com/office/drawing/2014/main" id="{00000000-0008-0000-0200-0000F7160200}"/>
              </a:ext>
            </a:extLst>
          </xdr:cNvPr>
          <xdr:cNvSpPr/>
        </xdr:nvSpPr>
        <xdr:spPr>
          <a:xfrm>
            <a:off x="4953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52" name="QRD">
            <a:extLst>
              <a:ext uri="{FF2B5EF4-FFF2-40B4-BE49-F238E27FC236}">
                <a16:creationId xmlns:a16="http://schemas.microsoft.com/office/drawing/2014/main" id="{00000000-0008-0000-0200-0000F8160200}"/>
              </a:ext>
            </a:extLst>
          </xdr:cNvPr>
          <xdr:cNvSpPr/>
        </xdr:nvSpPr>
        <xdr:spPr>
          <a:xfrm>
            <a:off x="5080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53" name="QRD">
            <a:extLst>
              <a:ext uri="{FF2B5EF4-FFF2-40B4-BE49-F238E27FC236}">
                <a16:creationId xmlns:a16="http://schemas.microsoft.com/office/drawing/2014/main" id="{00000000-0008-0000-0200-0000F9160200}"/>
              </a:ext>
            </a:extLst>
          </xdr:cNvPr>
          <xdr:cNvSpPr/>
        </xdr:nvSpPr>
        <xdr:spPr>
          <a:xfrm>
            <a:off x="254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54" name="QRD">
            <a:extLst>
              <a:ext uri="{FF2B5EF4-FFF2-40B4-BE49-F238E27FC236}">
                <a16:creationId xmlns:a16="http://schemas.microsoft.com/office/drawing/2014/main" id="{00000000-0008-0000-0200-0000FA160200}"/>
              </a:ext>
            </a:extLst>
          </xdr:cNvPr>
          <xdr:cNvSpPr/>
        </xdr:nvSpPr>
        <xdr:spPr>
          <a:xfrm>
            <a:off x="889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55" name="QRD">
            <a:extLst>
              <a:ext uri="{FF2B5EF4-FFF2-40B4-BE49-F238E27FC236}">
                <a16:creationId xmlns:a16="http://schemas.microsoft.com/office/drawing/2014/main" id="{00000000-0008-0000-0200-0000FB160200}"/>
              </a:ext>
            </a:extLst>
          </xdr:cNvPr>
          <xdr:cNvSpPr/>
        </xdr:nvSpPr>
        <xdr:spPr>
          <a:xfrm>
            <a:off x="1143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56" name="QRD">
            <a:extLst>
              <a:ext uri="{FF2B5EF4-FFF2-40B4-BE49-F238E27FC236}">
                <a16:creationId xmlns:a16="http://schemas.microsoft.com/office/drawing/2014/main" id="{00000000-0008-0000-0200-0000FC160200}"/>
              </a:ext>
            </a:extLst>
          </xdr:cNvPr>
          <xdr:cNvSpPr/>
        </xdr:nvSpPr>
        <xdr:spPr>
          <a:xfrm>
            <a:off x="1397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57" name="QRD">
            <a:extLst>
              <a:ext uri="{FF2B5EF4-FFF2-40B4-BE49-F238E27FC236}">
                <a16:creationId xmlns:a16="http://schemas.microsoft.com/office/drawing/2014/main" id="{00000000-0008-0000-0200-0000FD160200}"/>
              </a:ext>
            </a:extLst>
          </xdr:cNvPr>
          <xdr:cNvSpPr/>
        </xdr:nvSpPr>
        <xdr:spPr>
          <a:xfrm>
            <a:off x="2159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58" name="QRD">
            <a:extLst>
              <a:ext uri="{FF2B5EF4-FFF2-40B4-BE49-F238E27FC236}">
                <a16:creationId xmlns:a16="http://schemas.microsoft.com/office/drawing/2014/main" id="{00000000-0008-0000-0200-0000FE160200}"/>
              </a:ext>
            </a:extLst>
          </xdr:cNvPr>
          <xdr:cNvSpPr/>
        </xdr:nvSpPr>
        <xdr:spPr>
          <a:xfrm>
            <a:off x="2286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59" name="QRD">
            <a:extLst>
              <a:ext uri="{FF2B5EF4-FFF2-40B4-BE49-F238E27FC236}">
                <a16:creationId xmlns:a16="http://schemas.microsoft.com/office/drawing/2014/main" id="{00000000-0008-0000-0200-0000FF160200}"/>
              </a:ext>
            </a:extLst>
          </xdr:cNvPr>
          <xdr:cNvSpPr/>
        </xdr:nvSpPr>
        <xdr:spPr>
          <a:xfrm>
            <a:off x="2667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60" name="QRD">
            <a:extLst>
              <a:ext uri="{FF2B5EF4-FFF2-40B4-BE49-F238E27FC236}">
                <a16:creationId xmlns:a16="http://schemas.microsoft.com/office/drawing/2014/main" id="{00000000-0008-0000-0200-000000170200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61" name="QRD">
            <a:extLst>
              <a:ext uri="{FF2B5EF4-FFF2-40B4-BE49-F238E27FC236}">
                <a16:creationId xmlns:a16="http://schemas.microsoft.com/office/drawing/2014/main" id="{00000000-0008-0000-0200-000001170200}"/>
              </a:ext>
            </a:extLst>
          </xdr:cNvPr>
          <xdr:cNvSpPr/>
        </xdr:nvSpPr>
        <xdr:spPr>
          <a:xfrm>
            <a:off x="3302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62" name="QRD">
            <a:extLst>
              <a:ext uri="{FF2B5EF4-FFF2-40B4-BE49-F238E27FC236}">
                <a16:creationId xmlns:a16="http://schemas.microsoft.com/office/drawing/2014/main" id="{00000000-0008-0000-0200-000002170200}"/>
              </a:ext>
            </a:extLst>
          </xdr:cNvPr>
          <xdr:cNvSpPr/>
        </xdr:nvSpPr>
        <xdr:spPr>
          <a:xfrm>
            <a:off x="3683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63" name="QRD">
            <a:extLst>
              <a:ext uri="{FF2B5EF4-FFF2-40B4-BE49-F238E27FC236}">
                <a16:creationId xmlns:a16="http://schemas.microsoft.com/office/drawing/2014/main" id="{00000000-0008-0000-0200-000003170200}"/>
              </a:ext>
            </a:extLst>
          </xdr:cNvPr>
          <xdr:cNvSpPr/>
        </xdr:nvSpPr>
        <xdr:spPr>
          <a:xfrm>
            <a:off x="381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64" name="QRD">
            <a:extLst>
              <a:ext uri="{FF2B5EF4-FFF2-40B4-BE49-F238E27FC236}">
                <a16:creationId xmlns:a16="http://schemas.microsoft.com/office/drawing/2014/main" id="{00000000-0008-0000-0200-000004170200}"/>
              </a:ext>
            </a:extLst>
          </xdr:cNvPr>
          <xdr:cNvSpPr/>
        </xdr:nvSpPr>
        <xdr:spPr>
          <a:xfrm>
            <a:off x="4318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65" name="QRD">
            <a:extLst>
              <a:ext uri="{FF2B5EF4-FFF2-40B4-BE49-F238E27FC236}">
                <a16:creationId xmlns:a16="http://schemas.microsoft.com/office/drawing/2014/main" id="{00000000-0008-0000-0200-000005170200}"/>
              </a:ext>
            </a:extLst>
          </xdr:cNvPr>
          <xdr:cNvSpPr/>
        </xdr:nvSpPr>
        <xdr:spPr>
          <a:xfrm>
            <a:off x="4953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66" name="QRD">
            <a:extLst>
              <a:ext uri="{FF2B5EF4-FFF2-40B4-BE49-F238E27FC236}">
                <a16:creationId xmlns:a16="http://schemas.microsoft.com/office/drawing/2014/main" id="{00000000-0008-0000-0200-000006170200}"/>
              </a:ext>
            </a:extLst>
          </xdr:cNvPr>
          <xdr:cNvSpPr/>
        </xdr:nvSpPr>
        <xdr:spPr>
          <a:xfrm>
            <a:off x="508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67" name="QRD">
            <a:extLst>
              <a:ext uri="{FF2B5EF4-FFF2-40B4-BE49-F238E27FC236}">
                <a16:creationId xmlns:a16="http://schemas.microsoft.com/office/drawing/2014/main" id="{00000000-0008-0000-0200-000007170200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68" name="QRD">
            <a:extLst>
              <a:ext uri="{FF2B5EF4-FFF2-40B4-BE49-F238E27FC236}">
                <a16:creationId xmlns:a16="http://schemas.microsoft.com/office/drawing/2014/main" id="{00000000-0008-0000-0200-000008170200}"/>
              </a:ext>
            </a:extLst>
          </xdr:cNvPr>
          <xdr:cNvSpPr/>
        </xdr:nvSpPr>
        <xdr:spPr>
          <a:xfrm>
            <a:off x="127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69" name="QRD">
            <a:extLst>
              <a:ext uri="{FF2B5EF4-FFF2-40B4-BE49-F238E27FC236}">
                <a16:creationId xmlns:a16="http://schemas.microsoft.com/office/drawing/2014/main" id="{00000000-0008-0000-0200-000009170200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70" name="QRD">
            <a:extLst>
              <a:ext uri="{FF2B5EF4-FFF2-40B4-BE49-F238E27FC236}">
                <a16:creationId xmlns:a16="http://schemas.microsoft.com/office/drawing/2014/main" id="{00000000-0008-0000-0200-00000A170200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71" name="QRD">
            <a:extLst>
              <a:ext uri="{FF2B5EF4-FFF2-40B4-BE49-F238E27FC236}">
                <a16:creationId xmlns:a16="http://schemas.microsoft.com/office/drawing/2014/main" id="{00000000-0008-0000-0200-00000B170200}"/>
              </a:ext>
            </a:extLst>
          </xdr:cNvPr>
          <xdr:cNvSpPr/>
        </xdr:nvSpPr>
        <xdr:spPr>
          <a:xfrm>
            <a:off x="88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72" name="QRD">
            <a:extLst>
              <a:ext uri="{FF2B5EF4-FFF2-40B4-BE49-F238E27FC236}">
                <a16:creationId xmlns:a16="http://schemas.microsoft.com/office/drawing/2014/main" id="{00000000-0008-0000-0200-00000C170200}"/>
              </a:ext>
            </a:extLst>
          </xdr:cNvPr>
          <xdr:cNvSpPr/>
        </xdr:nvSpPr>
        <xdr:spPr>
          <a:xfrm>
            <a:off x="1270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73" name="QRD">
            <a:extLst>
              <a:ext uri="{FF2B5EF4-FFF2-40B4-BE49-F238E27FC236}">
                <a16:creationId xmlns:a16="http://schemas.microsoft.com/office/drawing/2014/main" id="{00000000-0008-0000-0200-00000D170200}"/>
              </a:ext>
            </a:extLst>
          </xdr:cNvPr>
          <xdr:cNvSpPr/>
        </xdr:nvSpPr>
        <xdr:spPr>
          <a:xfrm>
            <a:off x="1778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74" name="QRD">
            <a:extLst>
              <a:ext uri="{FF2B5EF4-FFF2-40B4-BE49-F238E27FC236}">
                <a16:creationId xmlns:a16="http://schemas.microsoft.com/office/drawing/2014/main" id="{00000000-0008-0000-0200-00000E170200}"/>
              </a:ext>
            </a:extLst>
          </xdr:cNvPr>
          <xdr:cNvSpPr/>
        </xdr:nvSpPr>
        <xdr:spPr>
          <a:xfrm>
            <a:off x="203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75" name="QRD">
            <a:extLst>
              <a:ext uri="{FF2B5EF4-FFF2-40B4-BE49-F238E27FC236}">
                <a16:creationId xmlns:a16="http://schemas.microsoft.com/office/drawing/2014/main" id="{00000000-0008-0000-0200-00000F170200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76" name="QRD">
            <a:extLst>
              <a:ext uri="{FF2B5EF4-FFF2-40B4-BE49-F238E27FC236}">
                <a16:creationId xmlns:a16="http://schemas.microsoft.com/office/drawing/2014/main" id="{00000000-0008-0000-0200-000010170200}"/>
              </a:ext>
            </a:extLst>
          </xdr:cNvPr>
          <xdr:cNvSpPr/>
        </xdr:nvSpPr>
        <xdr:spPr>
          <a:xfrm>
            <a:off x="2286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77" name="QRD">
            <a:extLst>
              <a:ext uri="{FF2B5EF4-FFF2-40B4-BE49-F238E27FC236}">
                <a16:creationId xmlns:a16="http://schemas.microsoft.com/office/drawing/2014/main" id="{00000000-0008-0000-0200-000011170200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78" name="QRD">
            <a:extLst>
              <a:ext uri="{FF2B5EF4-FFF2-40B4-BE49-F238E27FC236}">
                <a16:creationId xmlns:a16="http://schemas.microsoft.com/office/drawing/2014/main" id="{00000000-0008-0000-0200-000012170200}"/>
              </a:ext>
            </a:extLst>
          </xdr:cNvPr>
          <xdr:cNvSpPr/>
        </xdr:nvSpPr>
        <xdr:spPr>
          <a:xfrm>
            <a:off x="2667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79" name="QRD">
            <a:extLst>
              <a:ext uri="{FF2B5EF4-FFF2-40B4-BE49-F238E27FC236}">
                <a16:creationId xmlns:a16="http://schemas.microsoft.com/office/drawing/2014/main" id="{00000000-0008-0000-0200-000013170200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80" name="QRD">
            <a:extLst>
              <a:ext uri="{FF2B5EF4-FFF2-40B4-BE49-F238E27FC236}">
                <a16:creationId xmlns:a16="http://schemas.microsoft.com/office/drawing/2014/main" id="{00000000-0008-0000-0200-000014170200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81" name="QRD">
            <a:extLst>
              <a:ext uri="{FF2B5EF4-FFF2-40B4-BE49-F238E27FC236}">
                <a16:creationId xmlns:a16="http://schemas.microsoft.com/office/drawing/2014/main" id="{00000000-0008-0000-0200-000015170200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82" name="QRD">
            <a:extLst>
              <a:ext uri="{FF2B5EF4-FFF2-40B4-BE49-F238E27FC236}">
                <a16:creationId xmlns:a16="http://schemas.microsoft.com/office/drawing/2014/main" id="{00000000-0008-0000-0200-000016170200}"/>
              </a:ext>
            </a:extLst>
          </xdr:cNvPr>
          <xdr:cNvSpPr/>
        </xdr:nvSpPr>
        <xdr:spPr>
          <a:xfrm>
            <a:off x="3937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83" name="QRD">
            <a:extLst>
              <a:ext uri="{FF2B5EF4-FFF2-40B4-BE49-F238E27FC236}">
                <a16:creationId xmlns:a16="http://schemas.microsoft.com/office/drawing/2014/main" id="{00000000-0008-0000-0200-000017170200}"/>
              </a:ext>
            </a:extLst>
          </xdr:cNvPr>
          <xdr:cNvSpPr/>
        </xdr:nvSpPr>
        <xdr:spPr>
          <a:xfrm>
            <a:off x="444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84" name="QRD">
            <a:extLst>
              <a:ext uri="{FF2B5EF4-FFF2-40B4-BE49-F238E27FC236}">
                <a16:creationId xmlns:a16="http://schemas.microsoft.com/office/drawing/2014/main" id="{00000000-0008-0000-0200-000018170200}"/>
              </a:ext>
            </a:extLst>
          </xdr:cNvPr>
          <xdr:cNvSpPr/>
        </xdr:nvSpPr>
        <xdr:spPr>
          <a:xfrm>
            <a:off x="25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85" name="QRD">
            <a:extLst>
              <a:ext uri="{FF2B5EF4-FFF2-40B4-BE49-F238E27FC236}">
                <a16:creationId xmlns:a16="http://schemas.microsoft.com/office/drawing/2014/main" id="{00000000-0008-0000-0200-000019170200}"/>
              </a:ext>
            </a:extLst>
          </xdr:cNvPr>
          <xdr:cNvSpPr/>
        </xdr:nvSpPr>
        <xdr:spPr>
          <a:xfrm>
            <a:off x="508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86" name="QRD">
            <a:extLst>
              <a:ext uri="{FF2B5EF4-FFF2-40B4-BE49-F238E27FC236}">
                <a16:creationId xmlns:a16="http://schemas.microsoft.com/office/drawing/2014/main" id="{00000000-0008-0000-0200-00001A170200}"/>
              </a:ext>
            </a:extLst>
          </xdr:cNvPr>
          <xdr:cNvSpPr/>
        </xdr:nvSpPr>
        <xdr:spPr>
          <a:xfrm>
            <a:off x="635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87" name="QRD">
            <a:extLst>
              <a:ext uri="{FF2B5EF4-FFF2-40B4-BE49-F238E27FC236}">
                <a16:creationId xmlns:a16="http://schemas.microsoft.com/office/drawing/2014/main" id="{00000000-0008-0000-0200-00001B170200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88" name="QRD">
            <a:extLst>
              <a:ext uri="{FF2B5EF4-FFF2-40B4-BE49-F238E27FC236}">
                <a16:creationId xmlns:a16="http://schemas.microsoft.com/office/drawing/2014/main" id="{00000000-0008-0000-0200-00001C170200}"/>
              </a:ext>
            </a:extLst>
          </xdr:cNvPr>
          <xdr:cNvSpPr/>
        </xdr:nvSpPr>
        <xdr:spPr>
          <a:xfrm>
            <a:off x="1397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89" name="QRD">
            <a:extLst>
              <a:ext uri="{FF2B5EF4-FFF2-40B4-BE49-F238E27FC236}">
                <a16:creationId xmlns:a16="http://schemas.microsoft.com/office/drawing/2014/main" id="{00000000-0008-0000-0200-00001D170200}"/>
              </a:ext>
            </a:extLst>
          </xdr:cNvPr>
          <xdr:cNvSpPr/>
        </xdr:nvSpPr>
        <xdr:spPr>
          <a:xfrm>
            <a:off x="152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90" name="QRD">
            <a:extLst>
              <a:ext uri="{FF2B5EF4-FFF2-40B4-BE49-F238E27FC236}">
                <a16:creationId xmlns:a16="http://schemas.microsoft.com/office/drawing/2014/main" id="{00000000-0008-0000-0200-00001E170200}"/>
              </a:ext>
            </a:extLst>
          </xdr:cNvPr>
          <xdr:cNvSpPr/>
        </xdr:nvSpPr>
        <xdr:spPr>
          <a:xfrm>
            <a:off x="1651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91" name="QRD">
            <a:extLst>
              <a:ext uri="{FF2B5EF4-FFF2-40B4-BE49-F238E27FC236}">
                <a16:creationId xmlns:a16="http://schemas.microsoft.com/office/drawing/2014/main" id="{00000000-0008-0000-0200-00001F170200}"/>
              </a:ext>
            </a:extLst>
          </xdr:cNvPr>
          <xdr:cNvSpPr/>
        </xdr:nvSpPr>
        <xdr:spPr>
          <a:xfrm>
            <a:off x="1905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92" name="QRD">
            <a:extLst>
              <a:ext uri="{FF2B5EF4-FFF2-40B4-BE49-F238E27FC236}">
                <a16:creationId xmlns:a16="http://schemas.microsoft.com/office/drawing/2014/main" id="{00000000-0008-0000-0200-000020170200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93" name="QRD">
            <a:extLst>
              <a:ext uri="{FF2B5EF4-FFF2-40B4-BE49-F238E27FC236}">
                <a16:creationId xmlns:a16="http://schemas.microsoft.com/office/drawing/2014/main" id="{00000000-0008-0000-0200-000021170200}"/>
              </a:ext>
            </a:extLst>
          </xdr:cNvPr>
          <xdr:cNvSpPr/>
        </xdr:nvSpPr>
        <xdr:spPr>
          <a:xfrm>
            <a:off x="279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94" name="QRD">
            <a:extLst>
              <a:ext uri="{FF2B5EF4-FFF2-40B4-BE49-F238E27FC236}">
                <a16:creationId xmlns:a16="http://schemas.microsoft.com/office/drawing/2014/main" id="{00000000-0008-0000-0200-000022170200}"/>
              </a:ext>
            </a:extLst>
          </xdr:cNvPr>
          <xdr:cNvSpPr/>
        </xdr:nvSpPr>
        <xdr:spPr>
          <a:xfrm>
            <a:off x="2921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95" name="QRD">
            <a:extLst>
              <a:ext uri="{FF2B5EF4-FFF2-40B4-BE49-F238E27FC236}">
                <a16:creationId xmlns:a16="http://schemas.microsoft.com/office/drawing/2014/main" id="{00000000-0008-0000-0200-000023170200}"/>
              </a:ext>
            </a:extLst>
          </xdr:cNvPr>
          <xdr:cNvSpPr/>
        </xdr:nvSpPr>
        <xdr:spPr>
          <a:xfrm>
            <a:off x="3048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96" name="QRD">
            <a:extLst>
              <a:ext uri="{FF2B5EF4-FFF2-40B4-BE49-F238E27FC236}">
                <a16:creationId xmlns:a16="http://schemas.microsoft.com/office/drawing/2014/main" id="{00000000-0008-0000-0200-000024170200}"/>
              </a:ext>
            </a:extLst>
          </xdr:cNvPr>
          <xdr:cNvSpPr/>
        </xdr:nvSpPr>
        <xdr:spPr>
          <a:xfrm>
            <a:off x="355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97" name="QRD">
            <a:extLst>
              <a:ext uri="{FF2B5EF4-FFF2-40B4-BE49-F238E27FC236}">
                <a16:creationId xmlns:a16="http://schemas.microsoft.com/office/drawing/2014/main" id="{00000000-0008-0000-0200-000025170200}"/>
              </a:ext>
            </a:extLst>
          </xdr:cNvPr>
          <xdr:cNvSpPr/>
        </xdr:nvSpPr>
        <xdr:spPr>
          <a:xfrm>
            <a:off x="381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98" name="QRD">
            <a:extLst>
              <a:ext uri="{FF2B5EF4-FFF2-40B4-BE49-F238E27FC236}">
                <a16:creationId xmlns:a16="http://schemas.microsoft.com/office/drawing/2014/main" id="{00000000-0008-0000-0200-000026170200}"/>
              </a:ext>
            </a:extLst>
          </xdr:cNvPr>
          <xdr:cNvSpPr/>
        </xdr:nvSpPr>
        <xdr:spPr>
          <a:xfrm>
            <a:off x="406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99" name="QRD">
            <a:extLst>
              <a:ext uri="{FF2B5EF4-FFF2-40B4-BE49-F238E27FC236}">
                <a16:creationId xmlns:a16="http://schemas.microsoft.com/office/drawing/2014/main" id="{00000000-0008-0000-0200-000027170200}"/>
              </a:ext>
            </a:extLst>
          </xdr:cNvPr>
          <xdr:cNvSpPr/>
        </xdr:nvSpPr>
        <xdr:spPr>
          <a:xfrm>
            <a:off x="4191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00" name="QRD">
            <a:extLst>
              <a:ext uri="{FF2B5EF4-FFF2-40B4-BE49-F238E27FC236}">
                <a16:creationId xmlns:a16="http://schemas.microsoft.com/office/drawing/2014/main" id="{00000000-0008-0000-0200-000028170200}"/>
              </a:ext>
            </a:extLst>
          </xdr:cNvPr>
          <xdr:cNvSpPr/>
        </xdr:nvSpPr>
        <xdr:spPr>
          <a:xfrm>
            <a:off x="4318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01" name="QRD">
            <a:extLst>
              <a:ext uri="{FF2B5EF4-FFF2-40B4-BE49-F238E27FC236}">
                <a16:creationId xmlns:a16="http://schemas.microsoft.com/office/drawing/2014/main" id="{00000000-0008-0000-0200-000029170200}"/>
              </a:ext>
            </a:extLst>
          </xdr:cNvPr>
          <xdr:cNvSpPr/>
        </xdr:nvSpPr>
        <xdr:spPr>
          <a:xfrm>
            <a:off x="4572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02" name="QRD">
            <a:extLst>
              <a:ext uri="{FF2B5EF4-FFF2-40B4-BE49-F238E27FC236}">
                <a16:creationId xmlns:a16="http://schemas.microsoft.com/office/drawing/2014/main" id="{00000000-0008-0000-0200-00002A170200}"/>
              </a:ext>
            </a:extLst>
          </xdr:cNvPr>
          <xdr:cNvSpPr/>
        </xdr:nvSpPr>
        <xdr:spPr>
          <a:xfrm>
            <a:off x="4699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03" name="QRD">
            <a:extLst>
              <a:ext uri="{FF2B5EF4-FFF2-40B4-BE49-F238E27FC236}">
                <a16:creationId xmlns:a16="http://schemas.microsoft.com/office/drawing/2014/main" id="{00000000-0008-0000-0200-00002B170200}"/>
              </a:ext>
            </a:extLst>
          </xdr:cNvPr>
          <xdr:cNvSpPr/>
        </xdr:nvSpPr>
        <xdr:spPr>
          <a:xfrm>
            <a:off x="482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04" name="QRD">
            <a:extLst>
              <a:ext uri="{FF2B5EF4-FFF2-40B4-BE49-F238E27FC236}">
                <a16:creationId xmlns:a16="http://schemas.microsoft.com/office/drawing/2014/main" id="{00000000-0008-0000-0200-00002C170200}"/>
              </a:ext>
            </a:extLst>
          </xdr:cNvPr>
          <xdr:cNvSpPr/>
        </xdr:nvSpPr>
        <xdr:spPr>
          <a:xfrm>
            <a:off x="4953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05" name="QRD">
            <a:extLst>
              <a:ext uri="{FF2B5EF4-FFF2-40B4-BE49-F238E27FC236}">
                <a16:creationId xmlns:a16="http://schemas.microsoft.com/office/drawing/2014/main" id="{00000000-0008-0000-0200-00002D170200}"/>
              </a:ext>
            </a:extLst>
          </xdr:cNvPr>
          <xdr:cNvSpPr/>
        </xdr:nvSpPr>
        <xdr:spPr>
          <a:xfrm>
            <a:off x="508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06" name="QRD">
            <a:extLst>
              <a:ext uri="{FF2B5EF4-FFF2-40B4-BE49-F238E27FC236}">
                <a16:creationId xmlns:a16="http://schemas.microsoft.com/office/drawing/2014/main" id="{00000000-0008-0000-0200-00002E170200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07" name="QRD">
            <a:extLst>
              <a:ext uri="{FF2B5EF4-FFF2-40B4-BE49-F238E27FC236}">
                <a16:creationId xmlns:a16="http://schemas.microsoft.com/office/drawing/2014/main" id="{00000000-0008-0000-0200-00002F170200}"/>
              </a:ext>
            </a:extLst>
          </xdr:cNvPr>
          <xdr:cNvSpPr/>
        </xdr:nvSpPr>
        <xdr:spPr>
          <a:xfrm>
            <a:off x="889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08" name="QRD">
            <a:extLst>
              <a:ext uri="{FF2B5EF4-FFF2-40B4-BE49-F238E27FC236}">
                <a16:creationId xmlns:a16="http://schemas.microsoft.com/office/drawing/2014/main" id="{00000000-0008-0000-0200-000030170200}"/>
              </a:ext>
            </a:extLst>
          </xdr:cNvPr>
          <xdr:cNvSpPr/>
        </xdr:nvSpPr>
        <xdr:spPr>
          <a:xfrm>
            <a:off x="1270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09" name="QRD">
            <a:extLst>
              <a:ext uri="{FF2B5EF4-FFF2-40B4-BE49-F238E27FC236}">
                <a16:creationId xmlns:a16="http://schemas.microsoft.com/office/drawing/2014/main" id="{00000000-0008-0000-0200-000031170200}"/>
              </a:ext>
            </a:extLst>
          </xdr:cNvPr>
          <xdr:cNvSpPr/>
        </xdr:nvSpPr>
        <xdr:spPr>
          <a:xfrm>
            <a:off x="1397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10" name="QRD">
            <a:extLst>
              <a:ext uri="{FF2B5EF4-FFF2-40B4-BE49-F238E27FC236}">
                <a16:creationId xmlns:a16="http://schemas.microsoft.com/office/drawing/2014/main" id="{00000000-0008-0000-0200-000032170200}"/>
              </a:ext>
            </a:extLst>
          </xdr:cNvPr>
          <xdr:cNvSpPr/>
        </xdr:nvSpPr>
        <xdr:spPr>
          <a:xfrm>
            <a:off x="1524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11" name="QRD">
            <a:extLst>
              <a:ext uri="{FF2B5EF4-FFF2-40B4-BE49-F238E27FC236}">
                <a16:creationId xmlns:a16="http://schemas.microsoft.com/office/drawing/2014/main" id="{00000000-0008-0000-0200-000033170200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12" name="QRD">
            <a:extLst>
              <a:ext uri="{FF2B5EF4-FFF2-40B4-BE49-F238E27FC236}">
                <a16:creationId xmlns:a16="http://schemas.microsoft.com/office/drawing/2014/main" id="{00000000-0008-0000-0200-000034170200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13" name="QRD">
            <a:extLst>
              <a:ext uri="{FF2B5EF4-FFF2-40B4-BE49-F238E27FC236}">
                <a16:creationId xmlns:a16="http://schemas.microsoft.com/office/drawing/2014/main" id="{00000000-0008-0000-0200-000035170200}"/>
              </a:ext>
            </a:extLst>
          </xdr:cNvPr>
          <xdr:cNvSpPr/>
        </xdr:nvSpPr>
        <xdr:spPr>
          <a:xfrm>
            <a:off x="228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14" name="QRD">
            <a:extLst>
              <a:ext uri="{FF2B5EF4-FFF2-40B4-BE49-F238E27FC236}">
                <a16:creationId xmlns:a16="http://schemas.microsoft.com/office/drawing/2014/main" id="{00000000-0008-0000-0200-000036170200}"/>
              </a:ext>
            </a:extLst>
          </xdr:cNvPr>
          <xdr:cNvSpPr/>
        </xdr:nvSpPr>
        <xdr:spPr>
          <a:xfrm>
            <a:off x="2540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15" name="QRD">
            <a:extLst>
              <a:ext uri="{FF2B5EF4-FFF2-40B4-BE49-F238E27FC236}">
                <a16:creationId xmlns:a16="http://schemas.microsoft.com/office/drawing/2014/main" id="{00000000-0008-0000-0200-000037170200}"/>
              </a:ext>
            </a:extLst>
          </xdr:cNvPr>
          <xdr:cNvSpPr/>
        </xdr:nvSpPr>
        <xdr:spPr>
          <a:xfrm>
            <a:off x="292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16" name="QRD">
            <a:extLst>
              <a:ext uri="{FF2B5EF4-FFF2-40B4-BE49-F238E27FC236}">
                <a16:creationId xmlns:a16="http://schemas.microsoft.com/office/drawing/2014/main" id="{00000000-0008-0000-0200-000038170200}"/>
              </a:ext>
            </a:extLst>
          </xdr:cNvPr>
          <xdr:cNvSpPr/>
        </xdr:nvSpPr>
        <xdr:spPr>
          <a:xfrm>
            <a:off x="317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17" name="QRD">
            <a:extLst>
              <a:ext uri="{FF2B5EF4-FFF2-40B4-BE49-F238E27FC236}">
                <a16:creationId xmlns:a16="http://schemas.microsoft.com/office/drawing/2014/main" id="{00000000-0008-0000-0200-000039170200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18" name="QRD">
            <a:extLst>
              <a:ext uri="{FF2B5EF4-FFF2-40B4-BE49-F238E27FC236}">
                <a16:creationId xmlns:a16="http://schemas.microsoft.com/office/drawing/2014/main" id="{00000000-0008-0000-0200-00003A170200}"/>
              </a:ext>
            </a:extLst>
          </xdr:cNvPr>
          <xdr:cNvSpPr/>
        </xdr:nvSpPr>
        <xdr:spPr>
          <a:xfrm>
            <a:off x="3429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19" name="QRD">
            <a:extLst>
              <a:ext uri="{FF2B5EF4-FFF2-40B4-BE49-F238E27FC236}">
                <a16:creationId xmlns:a16="http://schemas.microsoft.com/office/drawing/2014/main" id="{00000000-0008-0000-0200-00003B170200}"/>
              </a:ext>
            </a:extLst>
          </xdr:cNvPr>
          <xdr:cNvSpPr/>
        </xdr:nvSpPr>
        <xdr:spPr>
          <a:xfrm>
            <a:off x="3683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20" name="QRD">
            <a:extLst>
              <a:ext uri="{FF2B5EF4-FFF2-40B4-BE49-F238E27FC236}">
                <a16:creationId xmlns:a16="http://schemas.microsoft.com/office/drawing/2014/main" id="{00000000-0008-0000-0200-00003C170200}"/>
              </a:ext>
            </a:extLst>
          </xdr:cNvPr>
          <xdr:cNvSpPr/>
        </xdr:nvSpPr>
        <xdr:spPr>
          <a:xfrm>
            <a:off x="4064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21" name="QRD">
            <a:extLst>
              <a:ext uri="{FF2B5EF4-FFF2-40B4-BE49-F238E27FC236}">
                <a16:creationId xmlns:a16="http://schemas.microsoft.com/office/drawing/2014/main" id="{00000000-0008-0000-0200-00003D170200}"/>
              </a:ext>
            </a:extLst>
          </xdr:cNvPr>
          <xdr:cNvSpPr/>
        </xdr:nvSpPr>
        <xdr:spPr>
          <a:xfrm>
            <a:off x="419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22" name="QRD">
            <a:extLst>
              <a:ext uri="{FF2B5EF4-FFF2-40B4-BE49-F238E27FC236}">
                <a16:creationId xmlns:a16="http://schemas.microsoft.com/office/drawing/2014/main" id="{00000000-0008-0000-0200-00003E170200}"/>
              </a:ext>
            </a:extLst>
          </xdr:cNvPr>
          <xdr:cNvSpPr/>
        </xdr:nvSpPr>
        <xdr:spPr>
          <a:xfrm>
            <a:off x="431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23" name="QRD">
            <a:extLst>
              <a:ext uri="{FF2B5EF4-FFF2-40B4-BE49-F238E27FC236}">
                <a16:creationId xmlns:a16="http://schemas.microsoft.com/office/drawing/2014/main" id="{00000000-0008-0000-0200-00003F170200}"/>
              </a:ext>
            </a:extLst>
          </xdr:cNvPr>
          <xdr:cNvSpPr/>
        </xdr:nvSpPr>
        <xdr:spPr>
          <a:xfrm>
            <a:off x="4953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24" name="QRD">
            <a:extLst>
              <a:ext uri="{FF2B5EF4-FFF2-40B4-BE49-F238E27FC236}">
                <a16:creationId xmlns:a16="http://schemas.microsoft.com/office/drawing/2014/main" id="{00000000-0008-0000-0200-000040170200}"/>
              </a:ext>
            </a:extLst>
          </xdr:cNvPr>
          <xdr:cNvSpPr/>
        </xdr:nvSpPr>
        <xdr:spPr>
          <a:xfrm>
            <a:off x="5080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25" name="QRD">
            <a:extLst>
              <a:ext uri="{FF2B5EF4-FFF2-40B4-BE49-F238E27FC236}">
                <a16:creationId xmlns:a16="http://schemas.microsoft.com/office/drawing/2014/main" id="{00000000-0008-0000-0200-000041170200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26" name="QRD">
            <a:extLst>
              <a:ext uri="{FF2B5EF4-FFF2-40B4-BE49-F238E27FC236}">
                <a16:creationId xmlns:a16="http://schemas.microsoft.com/office/drawing/2014/main" id="{00000000-0008-0000-0200-000042170200}"/>
              </a:ext>
            </a:extLst>
          </xdr:cNvPr>
          <xdr:cNvSpPr/>
        </xdr:nvSpPr>
        <xdr:spPr>
          <a:xfrm>
            <a:off x="12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27" name="QRD">
            <a:extLst>
              <a:ext uri="{FF2B5EF4-FFF2-40B4-BE49-F238E27FC236}">
                <a16:creationId xmlns:a16="http://schemas.microsoft.com/office/drawing/2014/main" id="{00000000-0008-0000-0200-000043170200}"/>
              </a:ext>
            </a:extLst>
          </xdr:cNvPr>
          <xdr:cNvSpPr/>
        </xdr:nvSpPr>
        <xdr:spPr>
          <a:xfrm>
            <a:off x="635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28" name="QRD">
            <a:extLst>
              <a:ext uri="{FF2B5EF4-FFF2-40B4-BE49-F238E27FC236}">
                <a16:creationId xmlns:a16="http://schemas.microsoft.com/office/drawing/2014/main" id="{00000000-0008-0000-0200-000044170200}"/>
              </a:ext>
            </a:extLst>
          </xdr:cNvPr>
          <xdr:cNvSpPr/>
        </xdr:nvSpPr>
        <xdr:spPr>
          <a:xfrm>
            <a:off x="889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29" name="QRD">
            <a:extLst>
              <a:ext uri="{FF2B5EF4-FFF2-40B4-BE49-F238E27FC236}">
                <a16:creationId xmlns:a16="http://schemas.microsoft.com/office/drawing/2014/main" id="{00000000-0008-0000-0200-000045170200}"/>
              </a:ext>
            </a:extLst>
          </xdr:cNvPr>
          <xdr:cNvSpPr/>
        </xdr:nvSpPr>
        <xdr:spPr>
          <a:xfrm>
            <a:off x="1016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30" name="QRD">
            <a:extLst>
              <a:ext uri="{FF2B5EF4-FFF2-40B4-BE49-F238E27FC236}">
                <a16:creationId xmlns:a16="http://schemas.microsoft.com/office/drawing/2014/main" id="{00000000-0008-0000-0200-000046170200}"/>
              </a:ext>
            </a:extLst>
          </xdr:cNvPr>
          <xdr:cNvSpPr/>
        </xdr:nvSpPr>
        <xdr:spPr>
          <a:xfrm>
            <a:off x="139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31" name="QRD">
            <a:extLst>
              <a:ext uri="{FF2B5EF4-FFF2-40B4-BE49-F238E27FC236}">
                <a16:creationId xmlns:a16="http://schemas.microsoft.com/office/drawing/2014/main" id="{00000000-0008-0000-0200-000047170200}"/>
              </a:ext>
            </a:extLst>
          </xdr:cNvPr>
          <xdr:cNvSpPr/>
        </xdr:nvSpPr>
        <xdr:spPr>
          <a:xfrm>
            <a:off x="1524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32" name="QRD">
            <a:extLst>
              <a:ext uri="{FF2B5EF4-FFF2-40B4-BE49-F238E27FC236}">
                <a16:creationId xmlns:a16="http://schemas.microsoft.com/office/drawing/2014/main" id="{00000000-0008-0000-0200-000048170200}"/>
              </a:ext>
            </a:extLst>
          </xdr:cNvPr>
          <xdr:cNvSpPr/>
        </xdr:nvSpPr>
        <xdr:spPr>
          <a:xfrm>
            <a:off x="1778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33" name="QRD">
            <a:extLst>
              <a:ext uri="{FF2B5EF4-FFF2-40B4-BE49-F238E27FC236}">
                <a16:creationId xmlns:a16="http://schemas.microsoft.com/office/drawing/2014/main" id="{00000000-0008-0000-0200-000049170200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34" name="QRD">
            <a:extLst>
              <a:ext uri="{FF2B5EF4-FFF2-40B4-BE49-F238E27FC236}">
                <a16:creationId xmlns:a16="http://schemas.microsoft.com/office/drawing/2014/main" id="{00000000-0008-0000-0200-00004A170200}"/>
              </a:ext>
            </a:extLst>
          </xdr:cNvPr>
          <xdr:cNvSpPr/>
        </xdr:nvSpPr>
        <xdr:spPr>
          <a:xfrm>
            <a:off x="2159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35" name="QRD">
            <a:extLst>
              <a:ext uri="{FF2B5EF4-FFF2-40B4-BE49-F238E27FC236}">
                <a16:creationId xmlns:a16="http://schemas.microsoft.com/office/drawing/2014/main" id="{00000000-0008-0000-0200-00004B170200}"/>
              </a:ext>
            </a:extLst>
          </xdr:cNvPr>
          <xdr:cNvSpPr/>
        </xdr:nvSpPr>
        <xdr:spPr>
          <a:xfrm>
            <a:off x="266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36" name="QRD">
            <a:extLst>
              <a:ext uri="{FF2B5EF4-FFF2-40B4-BE49-F238E27FC236}">
                <a16:creationId xmlns:a16="http://schemas.microsoft.com/office/drawing/2014/main" id="{00000000-0008-0000-0200-00004C170200}"/>
              </a:ext>
            </a:extLst>
          </xdr:cNvPr>
          <xdr:cNvSpPr/>
        </xdr:nvSpPr>
        <xdr:spPr>
          <a:xfrm>
            <a:off x="2794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37" name="QRD">
            <a:extLst>
              <a:ext uri="{FF2B5EF4-FFF2-40B4-BE49-F238E27FC236}">
                <a16:creationId xmlns:a16="http://schemas.microsoft.com/office/drawing/2014/main" id="{00000000-0008-0000-0200-00004D170200}"/>
              </a:ext>
            </a:extLst>
          </xdr:cNvPr>
          <xdr:cNvSpPr/>
        </xdr:nvSpPr>
        <xdr:spPr>
          <a:xfrm>
            <a:off x="2921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38" name="QRD">
            <a:extLst>
              <a:ext uri="{FF2B5EF4-FFF2-40B4-BE49-F238E27FC236}">
                <a16:creationId xmlns:a16="http://schemas.microsoft.com/office/drawing/2014/main" id="{00000000-0008-0000-0200-00004E170200}"/>
              </a:ext>
            </a:extLst>
          </xdr:cNvPr>
          <xdr:cNvSpPr/>
        </xdr:nvSpPr>
        <xdr:spPr>
          <a:xfrm>
            <a:off x="3429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39" name="QRD">
            <a:extLst>
              <a:ext uri="{FF2B5EF4-FFF2-40B4-BE49-F238E27FC236}">
                <a16:creationId xmlns:a16="http://schemas.microsoft.com/office/drawing/2014/main" id="{00000000-0008-0000-0200-00004F170200}"/>
              </a:ext>
            </a:extLst>
          </xdr:cNvPr>
          <xdr:cNvSpPr/>
        </xdr:nvSpPr>
        <xdr:spPr>
          <a:xfrm>
            <a:off x="3556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40" name="QRD">
            <a:extLst>
              <a:ext uri="{FF2B5EF4-FFF2-40B4-BE49-F238E27FC236}">
                <a16:creationId xmlns:a16="http://schemas.microsoft.com/office/drawing/2014/main" id="{00000000-0008-0000-0200-000050170200}"/>
              </a:ext>
            </a:extLst>
          </xdr:cNvPr>
          <xdr:cNvSpPr/>
        </xdr:nvSpPr>
        <xdr:spPr>
          <a:xfrm>
            <a:off x="3683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41" name="QRD">
            <a:extLst>
              <a:ext uri="{FF2B5EF4-FFF2-40B4-BE49-F238E27FC236}">
                <a16:creationId xmlns:a16="http://schemas.microsoft.com/office/drawing/2014/main" id="{00000000-0008-0000-0200-000051170200}"/>
              </a:ext>
            </a:extLst>
          </xdr:cNvPr>
          <xdr:cNvSpPr/>
        </xdr:nvSpPr>
        <xdr:spPr>
          <a:xfrm>
            <a:off x="381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42" name="QRD">
            <a:extLst>
              <a:ext uri="{FF2B5EF4-FFF2-40B4-BE49-F238E27FC236}">
                <a16:creationId xmlns:a16="http://schemas.microsoft.com/office/drawing/2014/main" id="{00000000-0008-0000-0200-000052170200}"/>
              </a:ext>
            </a:extLst>
          </xdr:cNvPr>
          <xdr:cNvSpPr/>
        </xdr:nvSpPr>
        <xdr:spPr>
          <a:xfrm>
            <a:off x="393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43" name="QRD">
            <a:extLst>
              <a:ext uri="{FF2B5EF4-FFF2-40B4-BE49-F238E27FC236}">
                <a16:creationId xmlns:a16="http://schemas.microsoft.com/office/drawing/2014/main" id="{00000000-0008-0000-0200-000053170200}"/>
              </a:ext>
            </a:extLst>
          </xdr:cNvPr>
          <xdr:cNvSpPr/>
        </xdr:nvSpPr>
        <xdr:spPr>
          <a:xfrm>
            <a:off x="4191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44" name="QRD">
            <a:extLst>
              <a:ext uri="{FF2B5EF4-FFF2-40B4-BE49-F238E27FC236}">
                <a16:creationId xmlns:a16="http://schemas.microsoft.com/office/drawing/2014/main" id="{00000000-0008-0000-0200-000054170200}"/>
              </a:ext>
            </a:extLst>
          </xdr:cNvPr>
          <xdr:cNvSpPr/>
        </xdr:nvSpPr>
        <xdr:spPr>
          <a:xfrm>
            <a:off x="4445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45" name="QRD">
            <a:extLst>
              <a:ext uri="{FF2B5EF4-FFF2-40B4-BE49-F238E27FC236}">
                <a16:creationId xmlns:a16="http://schemas.microsoft.com/office/drawing/2014/main" id="{00000000-0008-0000-0200-000055170200}"/>
              </a:ext>
            </a:extLst>
          </xdr:cNvPr>
          <xdr:cNvSpPr/>
        </xdr:nvSpPr>
        <xdr:spPr>
          <a:xfrm>
            <a:off x="4953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46" name="QRD">
            <a:extLst>
              <a:ext uri="{FF2B5EF4-FFF2-40B4-BE49-F238E27FC236}">
                <a16:creationId xmlns:a16="http://schemas.microsoft.com/office/drawing/2014/main" id="{00000000-0008-0000-0200-000056170200}"/>
              </a:ext>
            </a:extLst>
          </xdr:cNvPr>
          <xdr:cNvSpPr/>
        </xdr:nvSpPr>
        <xdr:spPr>
          <a:xfrm>
            <a:off x="127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47" name="QRD">
            <a:extLst>
              <a:ext uri="{FF2B5EF4-FFF2-40B4-BE49-F238E27FC236}">
                <a16:creationId xmlns:a16="http://schemas.microsoft.com/office/drawing/2014/main" id="{00000000-0008-0000-0200-000057170200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48" name="QRD">
            <a:extLst>
              <a:ext uri="{FF2B5EF4-FFF2-40B4-BE49-F238E27FC236}">
                <a16:creationId xmlns:a16="http://schemas.microsoft.com/office/drawing/2014/main" id="{00000000-0008-0000-0200-000058170200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49" name="QRD">
            <a:extLst>
              <a:ext uri="{FF2B5EF4-FFF2-40B4-BE49-F238E27FC236}">
                <a16:creationId xmlns:a16="http://schemas.microsoft.com/office/drawing/2014/main" id="{00000000-0008-0000-0200-000059170200}"/>
              </a:ext>
            </a:extLst>
          </xdr:cNvPr>
          <xdr:cNvSpPr/>
        </xdr:nvSpPr>
        <xdr:spPr>
          <a:xfrm>
            <a:off x="635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50" name="QRD">
            <a:extLst>
              <a:ext uri="{FF2B5EF4-FFF2-40B4-BE49-F238E27FC236}">
                <a16:creationId xmlns:a16="http://schemas.microsoft.com/office/drawing/2014/main" id="{00000000-0008-0000-0200-00005A170200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51" name="QRD">
            <a:extLst>
              <a:ext uri="{FF2B5EF4-FFF2-40B4-BE49-F238E27FC236}">
                <a16:creationId xmlns:a16="http://schemas.microsoft.com/office/drawing/2014/main" id="{00000000-0008-0000-0200-00005B170200}"/>
              </a:ext>
            </a:extLst>
          </xdr:cNvPr>
          <xdr:cNvSpPr/>
        </xdr:nvSpPr>
        <xdr:spPr>
          <a:xfrm>
            <a:off x="1143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52" name="QRD">
            <a:extLst>
              <a:ext uri="{FF2B5EF4-FFF2-40B4-BE49-F238E27FC236}">
                <a16:creationId xmlns:a16="http://schemas.microsoft.com/office/drawing/2014/main" id="{00000000-0008-0000-0200-00005C170200}"/>
              </a:ext>
            </a:extLst>
          </xdr:cNvPr>
          <xdr:cNvSpPr/>
        </xdr:nvSpPr>
        <xdr:spPr>
          <a:xfrm>
            <a:off x="152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53" name="QRD">
            <a:extLst>
              <a:ext uri="{FF2B5EF4-FFF2-40B4-BE49-F238E27FC236}">
                <a16:creationId xmlns:a16="http://schemas.microsoft.com/office/drawing/2014/main" id="{00000000-0008-0000-0200-00005D170200}"/>
              </a:ext>
            </a:extLst>
          </xdr:cNvPr>
          <xdr:cNvSpPr/>
        </xdr:nvSpPr>
        <xdr:spPr>
          <a:xfrm>
            <a:off x="165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54" name="QRD">
            <a:extLst>
              <a:ext uri="{FF2B5EF4-FFF2-40B4-BE49-F238E27FC236}">
                <a16:creationId xmlns:a16="http://schemas.microsoft.com/office/drawing/2014/main" id="{00000000-0008-0000-0200-00005E170200}"/>
              </a:ext>
            </a:extLst>
          </xdr:cNvPr>
          <xdr:cNvSpPr/>
        </xdr:nvSpPr>
        <xdr:spPr>
          <a:xfrm>
            <a:off x="177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55" name="QRD">
            <a:extLst>
              <a:ext uri="{FF2B5EF4-FFF2-40B4-BE49-F238E27FC236}">
                <a16:creationId xmlns:a16="http://schemas.microsoft.com/office/drawing/2014/main" id="{00000000-0008-0000-0200-00005F170200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56" name="QRD">
            <a:extLst>
              <a:ext uri="{FF2B5EF4-FFF2-40B4-BE49-F238E27FC236}">
                <a16:creationId xmlns:a16="http://schemas.microsoft.com/office/drawing/2014/main" id="{00000000-0008-0000-0200-000060170200}"/>
              </a:ext>
            </a:extLst>
          </xdr:cNvPr>
          <xdr:cNvSpPr/>
        </xdr:nvSpPr>
        <xdr:spPr>
          <a:xfrm>
            <a:off x="2286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57" name="QRD">
            <a:extLst>
              <a:ext uri="{FF2B5EF4-FFF2-40B4-BE49-F238E27FC236}">
                <a16:creationId xmlns:a16="http://schemas.microsoft.com/office/drawing/2014/main" id="{00000000-0008-0000-0200-000061170200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58" name="QRD">
            <a:extLst>
              <a:ext uri="{FF2B5EF4-FFF2-40B4-BE49-F238E27FC236}">
                <a16:creationId xmlns:a16="http://schemas.microsoft.com/office/drawing/2014/main" id="{00000000-0008-0000-0200-000062170200}"/>
              </a:ext>
            </a:extLst>
          </xdr:cNvPr>
          <xdr:cNvSpPr/>
        </xdr:nvSpPr>
        <xdr:spPr>
          <a:xfrm>
            <a:off x="2667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59" name="QRD">
            <a:extLst>
              <a:ext uri="{FF2B5EF4-FFF2-40B4-BE49-F238E27FC236}">
                <a16:creationId xmlns:a16="http://schemas.microsoft.com/office/drawing/2014/main" id="{00000000-0008-0000-0200-000063170200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60" name="QRD">
            <a:extLst>
              <a:ext uri="{FF2B5EF4-FFF2-40B4-BE49-F238E27FC236}">
                <a16:creationId xmlns:a16="http://schemas.microsoft.com/office/drawing/2014/main" id="{00000000-0008-0000-0200-000064170200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61" name="QRD">
            <a:extLst>
              <a:ext uri="{FF2B5EF4-FFF2-40B4-BE49-F238E27FC236}">
                <a16:creationId xmlns:a16="http://schemas.microsoft.com/office/drawing/2014/main" id="{00000000-0008-0000-0200-000065170200}"/>
              </a:ext>
            </a:extLst>
          </xdr:cNvPr>
          <xdr:cNvSpPr/>
        </xdr:nvSpPr>
        <xdr:spPr>
          <a:xfrm>
            <a:off x="3556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62" name="QRD">
            <a:extLst>
              <a:ext uri="{FF2B5EF4-FFF2-40B4-BE49-F238E27FC236}">
                <a16:creationId xmlns:a16="http://schemas.microsoft.com/office/drawing/2014/main" id="{00000000-0008-0000-0200-000066170200}"/>
              </a:ext>
            </a:extLst>
          </xdr:cNvPr>
          <xdr:cNvSpPr/>
        </xdr:nvSpPr>
        <xdr:spPr>
          <a:xfrm>
            <a:off x="3683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63" name="QRD">
            <a:extLst>
              <a:ext uri="{FF2B5EF4-FFF2-40B4-BE49-F238E27FC236}">
                <a16:creationId xmlns:a16="http://schemas.microsoft.com/office/drawing/2014/main" id="{00000000-0008-0000-0200-000067170200}"/>
              </a:ext>
            </a:extLst>
          </xdr:cNvPr>
          <xdr:cNvSpPr/>
        </xdr:nvSpPr>
        <xdr:spPr>
          <a:xfrm>
            <a:off x="3937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64" name="QRD">
            <a:extLst>
              <a:ext uri="{FF2B5EF4-FFF2-40B4-BE49-F238E27FC236}">
                <a16:creationId xmlns:a16="http://schemas.microsoft.com/office/drawing/2014/main" id="{00000000-0008-0000-0200-000068170200}"/>
              </a:ext>
            </a:extLst>
          </xdr:cNvPr>
          <xdr:cNvSpPr/>
        </xdr:nvSpPr>
        <xdr:spPr>
          <a:xfrm>
            <a:off x="406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65" name="QRD">
            <a:extLst>
              <a:ext uri="{FF2B5EF4-FFF2-40B4-BE49-F238E27FC236}">
                <a16:creationId xmlns:a16="http://schemas.microsoft.com/office/drawing/2014/main" id="{00000000-0008-0000-0200-000069170200}"/>
              </a:ext>
            </a:extLst>
          </xdr:cNvPr>
          <xdr:cNvSpPr/>
        </xdr:nvSpPr>
        <xdr:spPr>
          <a:xfrm>
            <a:off x="419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66" name="QRD">
            <a:extLst>
              <a:ext uri="{FF2B5EF4-FFF2-40B4-BE49-F238E27FC236}">
                <a16:creationId xmlns:a16="http://schemas.microsoft.com/office/drawing/2014/main" id="{00000000-0008-0000-0200-00006A170200}"/>
              </a:ext>
            </a:extLst>
          </xdr:cNvPr>
          <xdr:cNvSpPr/>
        </xdr:nvSpPr>
        <xdr:spPr>
          <a:xfrm>
            <a:off x="457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67" name="QRD">
            <a:extLst>
              <a:ext uri="{FF2B5EF4-FFF2-40B4-BE49-F238E27FC236}">
                <a16:creationId xmlns:a16="http://schemas.microsoft.com/office/drawing/2014/main" id="{00000000-0008-0000-0200-00006B170200}"/>
              </a:ext>
            </a:extLst>
          </xdr:cNvPr>
          <xdr:cNvSpPr/>
        </xdr:nvSpPr>
        <xdr:spPr>
          <a:xfrm>
            <a:off x="4953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68" name="QRD">
            <a:extLst>
              <a:ext uri="{FF2B5EF4-FFF2-40B4-BE49-F238E27FC236}">
                <a16:creationId xmlns:a16="http://schemas.microsoft.com/office/drawing/2014/main" id="{00000000-0008-0000-0200-00006C170200}"/>
              </a:ext>
            </a:extLst>
          </xdr:cNvPr>
          <xdr:cNvSpPr/>
        </xdr:nvSpPr>
        <xdr:spPr>
          <a:xfrm>
            <a:off x="5080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69" name="QRD">
            <a:extLst>
              <a:ext uri="{FF2B5EF4-FFF2-40B4-BE49-F238E27FC236}">
                <a16:creationId xmlns:a16="http://schemas.microsoft.com/office/drawing/2014/main" id="{00000000-0008-0000-0200-00006D170200}"/>
              </a:ext>
            </a:extLst>
          </xdr:cNvPr>
          <xdr:cNvSpPr/>
        </xdr:nvSpPr>
        <xdr:spPr>
          <a:xfrm>
            <a:off x="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70" name="QRD">
            <a:extLst>
              <a:ext uri="{FF2B5EF4-FFF2-40B4-BE49-F238E27FC236}">
                <a16:creationId xmlns:a16="http://schemas.microsoft.com/office/drawing/2014/main" id="{00000000-0008-0000-0200-00006E170200}"/>
              </a:ext>
            </a:extLst>
          </xdr:cNvPr>
          <xdr:cNvSpPr/>
        </xdr:nvSpPr>
        <xdr:spPr>
          <a:xfrm>
            <a:off x="254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71" name="QRD">
            <a:extLst>
              <a:ext uri="{FF2B5EF4-FFF2-40B4-BE49-F238E27FC236}">
                <a16:creationId xmlns:a16="http://schemas.microsoft.com/office/drawing/2014/main" id="{00000000-0008-0000-0200-00006F170200}"/>
              </a:ext>
            </a:extLst>
          </xdr:cNvPr>
          <xdr:cNvSpPr/>
        </xdr:nvSpPr>
        <xdr:spPr>
          <a:xfrm>
            <a:off x="508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72" name="QRD">
            <a:extLst>
              <a:ext uri="{FF2B5EF4-FFF2-40B4-BE49-F238E27FC236}">
                <a16:creationId xmlns:a16="http://schemas.microsoft.com/office/drawing/2014/main" id="{00000000-0008-0000-0200-000070170200}"/>
              </a:ext>
            </a:extLst>
          </xdr:cNvPr>
          <xdr:cNvSpPr/>
        </xdr:nvSpPr>
        <xdr:spPr>
          <a:xfrm>
            <a:off x="635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73" name="QRD">
            <a:extLst>
              <a:ext uri="{FF2B5EF4-FFF2-40B4-BE49-F238E27FC236}">
                <a16:creationId xmlns:a16="http://schemas.microsoft.com/office/drawing/2014/main" id="{00000000-0008-0000-0200-000071170200}"/>
              </a:ext>
            </a:extLst>
          </xdr:cNvPr>
          <xdr:cNvSpPr/>
        </xdr:nvSpPr>
        <xdr:spPr>
          <a:xfrm>
            <a:off x="165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74" name="QRD">
            <a:extLst>
              <a:ext uri="{FF2B5EF4-FFF2-40B4-BE49-F238E27FC236}">
                <a16:creationId xmlns:a16="http://schemas.microsoft.com/office/drawing/2014/main" id="{00000000-0008-0000-0200-000072170200}"/>
              </a:ext>
            </a:extLst>
          </xdr:cNvPr>
          <xdr:cNvSpPr/>
        </xdr:nvSpPr>
        <xdr:spPr>
          <a:xfrm>
            <a:off x="2032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75" name="QRD">
            <a:extLst>
              <a:ext uri="{FF2B5EF4-FFF2-40B4-BE49-F238E27FC236}">
                <a16:creationId xmlns:a16="http://schemas.microsoft.com/office/drawing/2014/main" id="{00000000-0008-0000-0200-000073170200}"/>
              </a:ext>
            </a:extLst>
          </xdr:cNvPr>
          <xdr:cNvSpPr/>
        </xdr:nvSpPr>
        <xdr:spPr>
          <a:xfrm>
            <a:off x="2540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76" name="QRD">
            <a:extLst>
              <a:ext uri="{FF2B5EF4-FFF2-40B4-BE49-F238E27FC236}">
                <a16:creationId xmlns:a16="http://schemas.microsoft.com/office/drawing/2014/main" id="{00000000-0008-0000-0200-000074170200}"/>
              </a:ext>
            </a:extLst>
          </xdr:cNvPr>
          <xdr:cNvSpPr/>
        </xdr:nvSpPr>
        <xdr:spPr>
          <a:xfrm>
            <a:off x="2667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77" name="QRD">
            <a:extLst>
              <a:ext uri="{FF2B5EF4-FFF2-40B4-BE49-F238E27FC236}">
                <a16:creationId xmlns:a16="http://schemas.microsoft.com/office/drawing/2014/main" id="{00000000-0008-0000-0200-000075170200}"/>
              </a:ext>
            </a:extLst>
          </xdr:cNvPr>
          <xdr:cNvSpPr/>
        </xdr:nvSpPr>
        <xdr:spPr>
          <a:xfrm>
            <a:off x="2794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78" name="QRD">
            <a:extLst>
              <a:ext uri="{FF2B5EF4-FFF2-40B4-BE49-F238E27FC236}">
                <a16:creationId xmlns:a16="http://schemas.microsoft.com/office/drawing/2014/main" id="{00000000-0008-0000-0200-000076170200}"/>
              </a:ext>
            </a:extLst>
          </xdr:cNvPr>
          <xdr:cNvSpPr/>
        </xdr:nvSpPr>
        <xdr:spPr>
          <a:xfrm>
            <a:off x="3175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79" name="QRD">
            <a:extLst>
              <a:ext uri="{FF2B5EF4-FFF2-40B4-BE49-F238E27FC236}">
                <a16:creationId xmlns:a16="http://schemas.microsoft.com/office/drawing/2014/main" id="{00000000-0008-0000-0200-000077170200}"/>
              </a:ext>
            </a:extLst>
          </xdr:cNvPr>
          <xdr:cNvSpPr/>
        </xdr:nvSpPr>
        <xdr:spPr>
          <a:xfrm>
            <a:off x="3302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80" name="QRD">
            <a:extLst>
              <a:ext uri="{FF2B5EF4-FFF2-40B4-BE49-F238E27FC236}">
                <a16:creationId xmlns:a16="http://schemas.microsoft.com/office/drawing/2014/main" id="{00000000-0008-0000-0200-000078170200}"/>
              </a:ext>
            </a:extLst>
          </xdr:cNvPr>
          <xdr:cNvSpPr/>
        </xdr:nvSpPr>
        <xdr:spPr>
          <a:xfrm>
            <a:off x="3429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81" name="QRD">
            <a:extLst>
              <a:ext uri="{FF2B5EF4-FFF2-40B4-BE49-F238E27FC236}">
                <a16:creationId xmlns:a16="http://schemas.microsoft.com/office/drawing/2014/main" id="{00000000-0008-0000-0200-000079170200}"/>
              </a:ext>
            </a:extLst>
          </xdr:cNvPr>
          <xdr:cNvSpPr/>
        </xdr:nvSpPr>
        <xdr:spPr>
          <a:xfrm>
            <a:off x="4064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82" name="QRD">
            <a:extLst>
              <a:ext uri="{FF2B5EF4-FFF2-40B4-BE49-F238E27FC236}">
                <a16:creationId xmlns:a16="http://schemas.microsoft.com/office/drawing/2014/main" id="{00000000-0008-0000-0200-00007A170200}"/>
              </a:ext>
            </a:extLst>
          </xdr:cNvPr>
          <xdr:cNvSpPr/>
        </xdr:nvSpPr>
        <xdr:spPr>
          <a:xfrm>
            <a:off x="419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83" name="QRD">
            <a:extLst>
              <a:ext uri="{FF2B5EF4-FFF2-40B4-BE49-F238E27FC236}">
                <a16:creationId xmlns:a16="http://schemas.microsoft.com/office/drawing/2014/main" id="{00000000-0008-0000-0200-00007B170200}"/>
              </a:ext>
            </a:extLst>
          </xdr:cNvPr>
          <xdr:cNvSpPr/>
        </xdr:nvSpPr>
        <xdr:spPr>
          <a:xfrm>
            <a:off x="4445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84" name="QRD">
            <a:extLst>
              <a:ext uri="{FF2B5EF4-FFF2-40B4-BE49-F238E27FC236}">
                <a16:creationId xmlns:a16="http://schemas.microsoft.com/office/drawing/2014/main" id="{00000000-0008-0000-0200-00007C170200}"/>
              </a:ext>
            </a:extLst>
          </xdr:cNvPr>
          <xdr:cNvSpPr/>
        </xdr:nvSpPr>
        <xdr:spPr>
          <a:xfrm>
            <a:off x="4572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85" name="QRD">
            <a:extLst>
              <a:ext uri="{FF2B5EF4-FFF2-40B4-BE49-F238E27FC236}">
                <a16:creationId xmlns:a16="http://schemas.microsoft.com/office/drawing/2014/main" id="{00000000-0008-0000-0200-00007D170200}"/>
              </a:ext>
            </a:extLst>
          </xdr:cNvPr>
          <xdr:cNvSpPr/>
        </xdr:nvSpPr>
        <xdr:spPr>
          <a:xfrm>
            <a:off x="4699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86" name="QRD">
            <a:extLst>
              <a:ext uri="{FF2B5EF4-FFF2-40B4-BE49-F238E27FC236}">
                <a16:creationId xmlns:a16="http://schemas.microsoft.com/office/drawing/2014/main" id="{00000000-0008-0000-0200-00007E170200}"/>
              </a:ext>
            </a:extLst>
          </xdr:cNvPr>
          <xdr:cNvSpPr/>
        </xdr:nvSpPr>
        <xdr:spPr>
          <a:xfrm>
            <a:off x="482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87" name="QRD">
            <a:extLst>
              <a:ext uri="{FF2B5EF4-FFF2-40B4-BE49-F238E27FC236}">
                <a16:creationId xmlns:a16="http://schemas.microsoft.com/office/drawing/2014/main" id="{00000000-0008-0000-0200-00007F170200}"/>
              </a:ext>
            </a:extLst>
          </xdr:cNvPr>
          <xdr:cNvSpPr/>
        </xdr:nvSpPr>
        <xdr:spPr>
          <a:xfrm>
            <a:off x="4953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88" name="QRD">
            <a:extLst>
              <a:ext uri="{FF2B5EF4-FFF2-40B4-BE49-F238E27FC236}">
                <a16:creationId xmlns:a16="http://schemas.microsoft.com/office/drawing/2014/main" id="{00000000-0008-0000-0200-000080170200}"/>
              </a:ext>
            </a:extLst>
          </xdr:cNvPr>
          <xdr:cNvSpPr/>
        </xdr:nvSpPr>
        <xdr:spPr>
          <a:xfrm>
            <a:off x="5080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89" name="QRD">
            <a:extLst>
              <a:ext uri="{FF2B5EF4-FFF2-40B4-BE49-F238E27FC236}">
                <a16:creationId xmlns:a16="http://schemas.microsoft.com/office/drawing/2014/main" id="{00000000-0008-0000-0200-000081170200}"/>
              </a:ext>
            </a:extLst>
          </xdr:cNvPr>
          <xdr:cNvSpPr/>
        </xdr:nvSpPr>
        <xdr:spPr>
          <a:xfrm>
            <a:off x="25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90" name="QRD">
            <a:extLst>
              <a:ext uri="{FF2B5EF4-FFF2-40B4-BE49-F238E27FC236}">
                <a16:creationId xmlns:a16="http://schemas.microsoft.com/office/drawing/2014/main" id="{00000000-0008-0000-0200-000082170200}"/>
              </a:ext>
            </a:extLst>
          </xdr:cNvPr>
          <xdr:cNvSpPr/>
        </xdr:nvSpPr>
        <xdr:spPr>
          <a:xfrm>
            <a:off x="381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91" name="QRD">
            <a:extLst>
              <a:ext uri="{FF2B5EF4-FFF2-40B4-BE49-F238E27FC236}">
                <a16:creationId xmlns:a16="http://schemas.microsoft.com/office/drawing/2014/main" id="{00000000-0008-0000-0200-000083170200}"/>
              </a:ext>
            </a:extLst>
          </xdr:cNvPr>
          <xdr:cNvSpPr/>
        </xdr:nvSpPr>
        <xdr:spPr>
          <a:xfrm>
            <a:off x="50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92" name="QRD">
            <a:extLst>
              <a:ext uri="{FF2B5EF4-FFF2-40B4-BE49-F238E27FC236}">
                <a16:creationId xmlns:a16="http://schemas.microsoft.com/office/drawing/2014/main" id="{00000000-0008-0000-0200-000084170200}"/>
              </a:ext>
            </a:extLst>
          </xdr:cNvPr>
          <xdr:cNvSpPr/>
        </xdr:nvSpPr>
        <xdr:spPr>
          <a:xfrm>
            <a:off x="76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93" name="QRD">
            <a:extLst>
              <a:ext uri="{FF2B5EF4-FFF2-40B4-BE49-F238E27FC236}">
                <a16:creationId xmlns:a16="http://schemas.microsoft.com/office/drawing/2014/main" id="{00000000-0008-0000-0200-000085170200}"/>
              </a:ext>
            </a:extLst>
          </xdr:cNvPr>
          <xdr:cNvSpPr/>
        </xdr:nvSpPr>
        <xdr:spPr>
          <a:xfrm>
            <a:off x="889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94" name="QRD">
            <a:extLst>
              <a:ext uri="{FF2B5EF4-FFF2-40B4-BE49-F238E27FC236}">
                <a16:creationId xmlns:a16="http://schemas.microsoft.com/office/drawing/2014/main" id="{00000000-0008-0000-0200-000086170200}"/>
              </a:ext>
            </a:extLst>
          </xdr:cNvPr>
          <xdr:cNvSpPr/>
        </xdr:nvSpPr>
        <xdr:spPr>
          <a:xfrm>
            <a:off x="177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95" name="QRD">
            <a:extLst>
              <a:ext uri="{FF2B5EF4-FFF2-40B4-BE49-F238E27FC236}">
                <a16:creationId xmlns:a16="http://schemas.microsoft.com/office/drawing/2014/main" id="{00000000-0008-0000-0200-000087170200}"/>
              </a:ext>
            </a:extLst>
          </xdr:cNvPr>
          <xdr:cNvSpPr/>
        </xdr:nvSpPr>
        <xdr:spPr>
          <a:xfrm>
            <a:off x="1905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96" name="QRD">
            <a:extLst>
              <a:ext uri="{FF2B5EF4-FFF2-40B4-BE49-F238E27FC236}">
                <a16:creationId xmlns:a16="http://schemas.microsoft.com/office/drawing/2014/main" id="{00000000-0008-0000-0200-000088170200}"/>
              </a:ext>
            </a:extLst>
          </xdr:cNvPr>
          <xdr:cNvSpPr/>
        </xdr:nvSpPr>
        <xdr:spPr>
          <a:xfrm>
            <a:off x="203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97" name="QRD">
            <a:extLst>
              <a:ext uri="{FF2B5EF4-FFF2-40B4-BE49-F238E27FC236}">
                <a16:creationId xmlns:a16="http://schemas.microsoft.com/office/drawing/2014/main" id="{00000000-0008-0000-0200-000089170200}"/>
              </a:ext>
            </a:extLst>
          </xdr:cNvPr>
          <xdr:cNvSpPr/>
        </xdr:nvSpPr>
        <xdr:spPr>
          <a:xfrm>
            <a:off x="2159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98" name="QRD">
            <a:extLst>
              <a:ext uri="{FF2B5EF4-FFF2-40B4-BE49-F238E27FC236}">
                <a16:creationId xmlns:a16="http://schemas.microsoft.com/office/drawing/2014/main" id="{00000000-0008-0000-0200-00008A170200}"/>
              </a:ext>
            </a:extLst>
          </xdr:cNvPr>
          <xdr:cNvSpPr/>
        </xdr:nvSpPr>
        <xdr:spPr>
          <a:xfrm>
            <a:off x="254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99" name="QRD">
            <a:extLst>
              <a:ext uri="{FF2B5EF4-FFF2-40B4-BE49-F238E27FC236}">
                <a16:creationId xmlns:a16="http://schemas.microsoft.com/office/drawing/2014/main" id="{00000000-0008-0000-0200-00008B170200}"/>
              </a:ext>
            </a:extLst>
          </xdr:cNvPr>
          <xdr:cNvSpPr/>
        </xdr:nvSpPr>
        <xdr:spPr>
          <a:xfrm>
            <a:off x="2667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00" name="QRD">
            <a:extLst>
              <a:ext uri="{FF2B5EF4-FFF2-40B4-BE49-F238E27FC236}">
                <a16:creationId xmlns:a16="http://schemas.microsoft.com/office/drawing/2014/main" id="{00000000-0008-0000-0200-00008C170200}"/>
              </a:ext>
            </a:extLst>
          </xdr:cNvPr>
          <xdr:cNvSpPr/>
        </xdr:nvSpPr>
        <xdr:spPr>
          <a:xfrm>
            <a:off x="279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01" name="QRD">
            <a:extLst>
              <a:ext uri="{FF2B5EF4-FFF2-40B4-BE49-F238E27FC236}">
                <a16:creationId xmlns:a16="http://schemas.microsoft.com/office/drawing/2014/main" id="{00000000-0008-0000-0200-00008D170200}"/>
              </a:ext>
            </a:extLst>
          </xdr:cNvPr>
          <xdr:cNvSpPr/>
        </xdr:nvSpPr>
        <xdr:spPr>
          <a:xfrm>
            <a:off x="2921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02" name="QRD">
            <a:extLst>
              <a:ext uri="{FF2B5EF4-FFF2-40B4-BE49-F238E27FC236}">
                <a16:creationId xmlns:a16="http://schemas.microsoft.com/office/drawing/2014/main" id="{00000000-0008-0000-0200-00008E170200}"/>
              </a:ext>
            </a:extLst>
          </xdr:cNvPr>
          <xdr:cNvSpPr/>
        </xdr:nvSpPr>
        <xdr:spPr>
          <a:xfrm>
            <a:off x="3429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03" name="QRD">
            <a:extLst>
              <a:ext uri="{FF2B5EF4-FFF2-40B4-BE49-F238E27FC236}">
                <a16:creationId xmlns:a16="http://schemas.microsoft.com/office/drawing/2014/main" id="{00000000-0008-0000-0200-00008F170200}"/>
              </a:ext>
            </a:extLst>
          </xdr:cNvPr>
          <xdr:cNvSpPr/>
        </xdr:nvSpPr>
        <xdr:spPr>
          <a:xfrm>
            <a:off x="3556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04" name="QRD">
            <a:extLst>
              <a:ext uri="{FF2B5EF4-FFF2-40B4-BE49-F238E27FC236}">
                <a16:creationId xmlns:a16="http://schemas.microsoft.com/office/drawing/2014/main" id="{00000000-0008-0000-0200-000090170200}"/>
              </a:ext>
            </a:extLst>
          </xdr:cNvPr>
          <xdr:cNvSpPr/>
        </xdr:nvSpPr>
        <xdr:spPr>
          <a:xfrm>
            <a:off x="381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05" name="QRD">
            <a:extLst>
              <a:ext uri="{FF2B5EF4-FFF2-40B4-BE49-F238E27FC236}">
                <a16:creationId xmlns:a16="http://schemas.microsoft.com/office/drawing/2014/main" id="{00000000-0008-0000-0200-000091170200}"/>
              </a:ext>
            </a:extLst>
          </xdr:cNvPr>
          <xdr:cNvSpPr/>
        </xdr:nvSpPr>
        <xdr:spPr>
          <a:xfrm>
            <a:off x="4191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06" name="QRD">
            <a:extLst>
              <a:ext uri="{FF2B5EF4-FFF2-40B4-BE49-F238E27FC236}">
                <a16:creationId xmlns:a16="http://schemas.microsoft.com/office/drawing/2014/main" id="{00000000-0008-0000-0200-000092170200}"/>
              </a:ext>
            </a:extLst>
          </xdr:cNvPr>
          <xdr:cNvSpPr/>
        </xdr:nvSpPr>
        <xdr:spPr>
          <a:xfrm>
            <a:off x="431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07" name="QRD">
            <a:extLst>
              <a:ext uri="{FF2B5EF4-FFF2-40B4-BE49-F238E27FC236}">
                <a16:creationId xmlns:a16="http://schemas.microsoft.com/office/drawing/2014/main" id="{00000000-0008-0000-0200-000093170200}"/>
              </a:ext>
            </a:extLst>
          </xdr:cNvPr>
          <xdr:cNvSpPr/>
        </xdr:nvSpPr>
        <xdr:spPr>
          <a:xfrm>
            <a:off x="457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08" name="QRD">
            <a:extLst>
              <a:ext uri="{FF2B5EF4-FFF2-40B4-BE49-F238E27FC236}">
                <a16:creationId xmlns:a16="http://schemas.microsoft.com/office/drawing/2014/main" id="{00000000-0008-0000-0200-000094170200}"/>
              </a:ext>
            </a:extLst>
          </xdr:cNvPr>
          <xdr:cNvSpPr/>
        </xdr:nvSpPr>
        <xdr:spPr>
          <a:xfrm>
            <a:off x="4953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09" name="QRD">
            <a:extLst>
              <a:ext uri="{FF2B5EF4-FFF2-40B4-BE49-F238E27FC236}">
                <a16:creationId xmlns:a16="http://schemas.microsoft.com/office/drawing/2014/main" id="{00000000-0008-0000-0200-000095170200}"/>
              </a:ext>
            </a:extLst>
          </xdr:cNvPr>
          <xdr:cNvSpPr/>
        </xdr:nvSpPr>
        <xdr:spPr>
          <a:xfrm>
            <a:off x="508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10" name="QRD">
            <a:extLst>
              <a:ext uri="{FF2B5EF4-FFF2-40B4-BE49-F238E27FC236}">
                <a16:creationId xmlns:a16="http://schemas.microsoft.com/office/drawing/2014/main" id="{00000000-0008-0000-0200-000096170200}"/>
              </a:ext>
            </a:extLst>
          </xdr:cNvPr>
          <xdr:cNvSpPr/>
        </xdr:nvSpPr>
        <xdr:spPr>
          <a:xfrm>
            <a:off x="254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11" name="QRD">
            <a:extLst>
              <a:ext uri="{FF2B5EF4-FFF2-40B4-BE49-F238E27FC236}">
                <a16:creationId xmlns:a16="http://schemas.microsoft.com/office/drawing/2014/main" id="{00000000-0008-0000-0200-000097170200}"/>
              </a:ext>
            </a:extLst>
          </xdr:cNvPr>
          <xdr:cNvSpPr/>
        </xdr:nvSpPr>
        <xdr:spPr>
          <a:xfrm>
            <a:off x="381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12" name="QRD">
            <a:extLst>
              <a:ext uri="{FF2B5EF4-FFF2-40B4-BE49-F238E27FC236}">
                <a16:creationId xmlns:a16="http://schemas.microsoft.com/office/drawing/2014/main" id="{00000000-0008-0000-0200-000098170200}"/>
              </a:ext>
            </a:extLst>
          </xdr:cNvPr>
          <xdr:cNvSpPr/>
        </xdr:nvSpPr>
        <xdr:spPr>
          <a:xfrm>
            <a:off x="508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13" name="QRD">
            <a:extLst>
              <a:ext uri="{FF2B5EF4-FFF2-40B4-BE49-F238E27FC236}">
                <a16:creationId xmlns:a16="http://schemas.microsoft.com/office/drawing/2014/main" id="{00000000-0008-0000-0200-000099170200}"/>
              </a:ext>
            </a:extLst>
          </xdr:cNvPr>
          <xdr:cNvSpPr/>
        </xdr:nvSpPr>
        <xdr:spPr>
          <a:xfrm>
            <a:off x="635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14" name="QRD">
            <a:extLst>
              <a:ext uri="{FF2B5EF4-FFF2-40B4-BE49-F238E27FC236}">
                <a16:creationId xmlns:a16="http://schemas.microsoft.com/office/drawing/2014/main" id="{00000000-0008-0000-0200-00009A170200}"/>
              </a:ext>
            </a:extLst>
          </xdr:cNvPr>
          <xdr:cNvSpPr/>
        </xdr:nvSpPr>
        <xdr:spPr>
          <a:xfrm>
            <a:off x="1143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15" name="QRD">
            <a:extLst>
              <a:ext uri="{FF2B5EF4-FFF2-40B4-BE49-F238E27FC236}">
                <a16:creationId xmlns:a16="http://schemas.microsoft.com/office/drawing/2014/main" id="{00000000-0008-0000-0200-00009B170200}"/>
              </a:ext>
            </a:extLst>
          </xdr:cNvPr>
          <xdr:cNvSpPr/>
        </xdr:nvSpPr>
        <xdr:spPr>
          <a:xfrm>
            <a:off x="1524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16" name="QRD">
            <a:extLst>
              <a:ext uri="{FF2B5EF4-FFF2-40B4-BE49-F238E27FC236}">
                <a16:creationId xmlns:a16="http://schemas.microsoft.com/office/drawing/2014/main" id="{00000000-0008-0000-0200-00009C170200}"/>
              </a:ext>
            </a:extLst>
          </xdr:cNvPr>
          <xdr:cNvSpPr/>
        </xdr:nvSpPr>
        <xdr:spPr>
          <a:xfrm>
            <a:off x="1778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17" name="QRD">
            <a:extLst>
              <a:ext uri="{FF2B5EF4-FFF2-40B4-BE49-F238E27FC236}">
                <a16:creationId xmlns:a16="http://schemas.microsoft.com/office/drawing/2014/main" id="{00000000-0008-0000-0200-00009D170200}"/>
              </a:ext>
            </a:extLst>
          </xdr:cNvPr>
          <xdr:cNvSpPr/>
        </xdr:nvSpPr>
        <xdr:spPr>
          <a:xfrm>
            <a:off x="2032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18" name="QRD">
            <a:extLst>
              <a:ext uri="{FF2B5EF4-FFF2-40B4-BE49-F238E27FC236}">
                <a16:creationId xmlns:a16="http://schemas.microsoft.com/office/drawing/2014/main" id="{00000000-0008-0000-0200-00009E170200}"/>
              </a:ext>
            </a:extLst>
          </xdr:cNvPr>
          <xdr:cNvSpPr/>
        </xdr:nvSpPr>
        <xdr:spPr>
          <a:xfrm>
            <a:off x="2159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19" name="QRD">
            <a:extLst>
              <a:ext uri="{FF2B5EF4-FFF2-40B4-BE49-F238E27FC236}">
                <a16:creationId xmlns:a16="http://schemas.microsoft.com/office/drawing/2014/main" id="{00000000-0008-0000-0200-00009F170200}"/>
              </a:ext>
            </a:extLst>
          </xdr:cNvPr>
          <xdr:cNvSpPr/>
        </xdr:nvSpPr>
        <xdr:spPr>
          <a:xfrm>
            <a:off x="2667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20" name="QRD">
            <a:extLst>
              <a:ext uri="{FF2B5EF4-FFF2-40B4-BE49-F238E27FC236}">
                <a16:creationId xmlns:a16="http://schemas.microsoft.com/office/drawing/2014/main" id="{00000000-0008-0000-0200-0000A0170200}"/>
              </a:ext>
            </a:extLst>
          </xdr:cNvPr>
          <xdr:cNvSpPr/>
        </xdr:nvSpPr>
        <xdr:spPr>
          <a:xfrm>
            <a:off x="2794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21" name="QRD">
            <a:extLst>
              <a:ext uri="{FF2B5EF4-FFF2-40B4-BE49-F238E27FC236}">
                <a16:creationId xmlns:a16="http://schemas.microsoft.com/office/drawing/2014/main" id="{00000000-0008-0000-0200-0000A1170200}"/>
              </a:ext>
            </a:extLst>
          </xdr:cNvPr>
          <xdr:cNvSpPr/>
        </xdr:nvSpPr>
        <xdr:spPr>
          <a:xfrm>
            <a:off x="2921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22" name="QRD">
            <a:extLst>
              <a:ext uri="{FF2B5EF4-FFF2-40B4-BE49-F238E27FC236}">
                <a16:creationId xmlns:a16="http://schemas.microsoft.com/office/drawing/2014/main" id="{00000000-0008-0000-0200-0000A2170200}"/>
              </a:ext>
            </a:extLst>
          </xdr:cNvPr>
          <xdr:cNvSpPr/>
        </xdr:nvSpPr>
        <xdr:spPr>
          <a:xfrm>
            <a:off x="3556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23" name="QRD">
            <a:extLst>
              <a:ext uri="{FF2B5EF4-FFF2-40B4-BE49-F238E27FC236}">
                <a16:creationId xmlns:a16="http://schemas.microsoft.com/office/drawing/2014/main" id="{00000000-0008-0000-0200-0000A3170200}"/>
              </a:ext>
            </a:extLst>
          </xdr:cNvPr>
          <xdr:cNvSpPr/>
        </xdr:nvSpPr>
        <xdr:spPr>
          <a:xfrm>
            <a:off x="3683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24" name="QRD">
            <a:extLst>
              <a:ext uri="{FF2B5EF4-FFF2-40B4-BE49-F238E27FC236}">
                <a16:creationId xmlns:a16="http://schemas.microsoft.com/office/drawing/2014/main" id="{00000000-0008-0000-0200-0000A4170200}"/>
              </a:ext>
            </a:extLst>
          </xdr:cNvPr>
          <xdr:cNvSpPr/>
        </xdr:nvSpPr>
        <xdr:spPr>
          <a:xfrm>
            <a:off x="3810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25" name="QRD">
            <a:extLst>
              <a:ext uri="{FF2B5EF4-FFF2-40B4-BE49-F238E27FC236}">
                <a16:creationId xmlns:a16="http://schemas.microsoft.com/office/drawing/2014/main" id="{00000000-0008-0000-0200-0000A5170200}"/>
              </a:ext>
            </a:extLst>
          </xdr:cNvPr>
          <xdr:cNvSpPr/>
        </xdr:nvSpPr>
        <xdr:spPr>
          <a:xfrm>
            <a:off x="3937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26" name="QRD">
            <a:extLst>
              <a:ext uri="{FF2B5EF4-FFF2-40B4-BE49-F238E27FC236}">
                <a16:creationId xmlns:a16="http://schemas.microsoft.com/office/drawing/2014/main" id="{00000000-0008-0000-0200-0000A6170200}"/>
              </a:ext>
            </a:extLst>
          </xdr:cNvPr>
          <xdr:cNvSpPr/>
        </xdr:nvSpPr>
        <xdr:spPr>
          <a:xfrm>
            <a:off x="4191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27" name="QRD">
            <a:extLst>
              <a:ext uri="{FF2B5EF4-FFF2-40B4-BE49-F238E27FC236}">
                <a16:creationId xmlns:a16="http://schemas.microsoft.com/office/drawing/2014/main" id="{00000000-0008-0000-0200-0000A7170200}"/>
              </a:ext>
            </a:extLst>
          </xdr:cNvPr>
          <xdr:cNvSpPr/>
        </xdr:nvSpPr>
        <xdr:spPr>
          <a:xfrm>
            <a:off x="4445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28" name="QRD">
            <a:extLst>
              <a:ext uri="{FF2B5EF4-FFF2-40B4-BE49-F238E27FC236}">
                <a16:creationId xmlns:a16="http://schemas.microsoft.com/office/drawing/2014/main" id="{00000000-0008-0000-0200-0000A8170200}"/>
              </a:ext>
            </a:extLst>
          </xdr:cNvPr>
          <xdr:cNvSpPr/>
        </xdr:nvSpPr>
        <xdr:spPr>
          <a:xfrm>
            <a:off x="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29" name="QRD">
            <a:extLst>
              <a:ext uri="{FF2B5EF4-FFF2-40B4-BE49-F238E27FC236}">
                <a16:creationId xmlns:a16="http://schemas.microsoft.com/office/drawing/2014/main" id="{00000000-0008-0000-0200-0000A9170200}"/>
              </a:ext>
            </a:extLst>
          </xdr:cNvPr>
          <xdr:cNvSpPr/>
        </xdr:nvSpPr>
        <xdr:spPr>
          <a:xfrm>
            <a:off x="12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30" name="QRD">
            <a:extLst>
              <a:ext uri="{FF2B5EF4-FFF2-40B4-BE49-F238E27FC236}">
                <a16:creationId xmlns:a16="http://schemas.microsoft.com/office/drawing/2014/main" id="{00000000-0008-0000-0200-0000AA170200}"/>
              </a:ext>
            </a:extLst>
          </xdr:cNvPr>
          <xdr:cNvSpPr/>
        </xdr:nvSpPr>
        <xdr:spPr>
          <a:xfrm>
            <a:off x="63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31" name="QRD">
            <a:extLst>
              <a:ext uri="{FF2B5EF4-FFF2-40B4-BE49-F238E27FC236}">
                <a16:creationId xmlns:a16="http://schemas.microsoft.com/office/drawing/2014/main" id="{00000000-0008-0000-0200-0000AB170200}"/>
              </a:ext>
            </a:extLst>
          </xdr:cNvPr>
          <xdr:cNvSpPr/>
        </xdr:nvSpPr>
        <xdr:spPr>
          <a:xfrm>
            <a:off x="762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32" name="QRD">
            <a:extLst>
              <a:ext uri="{FF2B5EF4-FFF2-40B4-BE49-F238E27FC236}">
                <a16:creationId xmlns:a16="http://schemas.microsoft.com/office/drawing/2014/main" id="{00000000-0008-0000-0200-0000AC170200}"/>
              </a:ext>
            </a:extLst>
          </xdr:cNvPr>
          <xdr:cNvSpPr/>
        </xdr:nvSpPr>
        <xdr:spPr>
          <a:xfrm>
            <a:off x="889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33" name="QRD">
            <a:extLst>
              <a:ext uri="{FF2B5EF4-FFF2-40B4-BE49-F238E27FC236}">
                <a16:creationId xmlns:a16="http://schemas.microsoft.com/office/drawing/2014/main" id="{00000000-0008-0000-0200-0000AD170200}"/>
              </a:ext>
            </a:extLst>
          </xdr:cNvPr>
          <xdr:cNvSpPr/>
        </xdr:nvSpPr>
        <xdr:spPr>
          <a:xfrm>
            <a:off x="101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34" name="QRD">
            <a:extLst>
              <a:ext uri="{FF2B5EF4-FFF2-40B4-BE49-F238E27FC236}">
                <a16:creationId xmlns:a16="http://schemas.microsoft.com/office/drawing/2014/main" id="{00000000-0008-0000-0200-0000AE170200}"/>
              </a:ext>
            </a:extLst>
          </xdr:cNvPr>
          <xdr:cNvSpPr/>
        </xdr:nvSpPr>
        <xdr:spPr>
          <a:xfrm>
            <a:off x="1143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35" name="QRD">
            <a:extLst>
              <a:ext uri="{FF2B5EF4-FFF2-40B4-BE49-F238E27FC236}">
                <a16:creationId xmlns:a16="http://schemas.microsoft.com/office/drawing/2014/main" id="{00000000-0008-0000-0200-0000AF170200}"/>
              </a:ext>
            </a:extLst>
          </xdr:cNvPr>
          <xdr:cNvSpPr/>
        </xdr:nvSpPr>
        <xdr:spPr>
          <a:xfrm>
            <a:off x="1270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36" name="QRD">
            <a:extLst>
              <a:ext uri="{FF2B5EF4-FFF2-40B4-BE49-F238E27FC236}">
                <a16:creationId xmlns:a16="http://schemas.microsoft.com/office/drawing/2014/main" id="{00000000-0008-0000-0200-0000B0170200}"/>
              </a:ext>
            </a:extLst>
          </xdr:cNvPr>
          <xdr:cNvSpPr/>
        </xdr:nvSpPr>
        <xdr:spPr>
          <a:xfrm>
            <a:off x="139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37" name="QRD">
            <a:extLst>
              <a:ext uri="{FF2B5EF4-FFF2-40B4-BE49-F238E27FC236}">
                <a16:creationId xmlns:a16="http://schemas.microsoft.com/office/drawing/2014/main" id="{00000000-0008-0000-0200-0000B1170200}"/>
              </a:ext>
            </a:extLst>
          </xdr:cNvPr>
          <xdr:cNvSpPr/>
        </xdr:nvSpPr>
        <xdr:spPr>
          <a:xfrm>
            <a:off x="177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38" name="QRD">
            <a:extLst>
              <a:ext uri="{FF2B5EF4-FFF2-40B4-BE49-F238E27FC236}">
                <a16:creationId xmlns:a16="http://schemas.microsoft.com/office/drawing/2014/main" id="{00000000-0008-0000-0200-0000B2170200}"/>
              </a:ext>
            </a:extLst>
          </xdr:cNvPr>
          <xdr:cNvSpPr/>
        </xdr:nvSpPr>
        <xdr:spPr>
          <a:xfrm>
            <a:off x="2032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39" name="QRD">
            <a:extLst>
              <a:ext uri="{FF2B5EF4-FFF2-40B4-BE49-F238E27FC236}">
                <a16:creationId xmlns:a16="http://schemas.microsoft.com/office/drawing/2014/main" id="{00000000-0008-0000-0200-0000B3170200}"/>
              </a:ext>
            </a:extLst>
          </xdr:cNvPr>
          <xdr:cNvSpPr/>
        </xdr:nvSpPr>
        <xdr:spPr>
          <a:xfrm>
            <a:off x="2159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40" name="QRD">
            <a:extLst>
              <a:ext uri="{FF2B5EF4-FFF2-40B4-BE49-F238E27FC236}">
                <a16:creationId xmlns:a16="http://schemas.microsoft.com/office/drawing/2014/main" id="{00000000-0008-0000-0200-0000B4170200}"/>
              </a:ext>
            </a:extLst>
          </xdr:cNvPr>
          <xdr:cNvSpPr/>
        </xdr:nvSpPr>
        <xdr:spPr>
          <a:xfrm>
            <a:off x="228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41" name="QRD">
            <a:extLst>
              <a:ext uri="{FF2B5EF4-FFF2-40B4-BE49-F238E27FC236}">
                <a16:creationId xmlns:a16="http://schemas.microsoft.com/office/drawing/2014/main" id="{00000000-0008-0000-0200-0000B5170200}"/>
              </a:ext>
            </a:extLst>
          </xdr:cNvPr>
          <xdr:cNvSpPr/>
        </xdr:nvSpPr>
        <xdr:spPr>
          <a:xfrm>
            <a:off x="2413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42" name="QRD">
            <a:extLst>
              <a:ext uri="{FF2B5EF4-FFF2-40B4-BE49-F238E27FC236}">
                <a16:creationId xmlns:a16="http://schemas.microsoft.com/office/drawing/2014/main" id="{00000000-0008-0000-0200-0000B6170200}"/>
              </a:ext>
            </a:extLst>
          </xdr:cNvPr>
          <xdr:cNvSpPr/>
        </xdr:nvSpPr>
        <xdr:spPr>
          <a:xfrm>
            <a:off x="266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43" name="QRD">
            <a:extLst>
              <a:ext uri="{FF2B5EF4-FFF2-40B4-BE49-F238E27FC236}">
                <a16:creationId xmlns:a16="http://schemas.microsoft.com/office/drawing/2014/main" id="{00000000-0008-0000-0200-0000B7170200}"/>
              </a:ext>
            </a:extLst>
          </xdr:cNvPr>
          <xdr:cNvSpPr/>
        </xdr:nvSpPr>
        <xdr:spPr>
          <a:xfrm>
            <a:off x="3302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44" name="QRD">
            <a:extLst>
              <a:ext uri="{FF2B5EF4-FFF2-40B4-BE49-F238E27FC236}">
                <a16:creationId xmlns:a16="http://schemas.microsoft.com/office/drawing/2014/main" id="{00000000-0008-0000-0200-0000B8170200}"/>
              </a:ext>
            </a:extLst>
          </xdr:cNvPr>
          <xdr:cNvSpPr/>
        </xdr:nvSpPr>
        <xdr:spPr>
          <a:xfrm>
            <a:off x="3683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45" name="QRD">
            <a:extLst>
              <a:ext uri="{FF2B5EF4-FFF2-40B4-BE49-F238E27FC236}">
                <a16:creationId xmlns:a16="http://schemas.microsoft.com/office/drawing/2014/main" id="{00000000-0008-0000-0200-0000B9170200}"/>
              </a:ext>
            </a:extLst>
          </xdr:cNvPr>
          <xdr:cNvSpPr/>
        </xdr:nvSpPr>
        <xdr:spPr>
          <a:xfrm>
            <a:off x="3810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46" name="QRD">
            <a:extLst>
              <a:ext uri="{FF2B5EF4-FFF2-40B4-BE49-F238E27FC236}">
                <a16:creationId xmlns:a16="http://schemas.microsoft.com/office/drawing/2014/main" id="{00000000-0008-0000-0200-0000BA170200}"/>
              </a:ext>
            </a:extLst>
          </xdr:cNvPr>
          <xdr:cNvSpPr/>
        </xdr:nvSpPr>
        <xdr:spPr>
          <a:xfrm>
            <a:off x="393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47" name="QRD">
            <a:extLst>
              <a:ext uri="{FF2B5EF4-FFF2-40B4-BE49-F238E27FC236}">
                <a16:creationId xmlns:a16="http://schemas.microsoft.com/office/drawing/2014/main" id="{00000000-0008-0000-0200-0000BB170200}"/>
              </a:ext>
            </a:extLst>
          </xdr:cNvPr>
          <xdr:cNvSpPr/>
        </xdr:nvSpPr>
        <xdr:spPr>
          <a:xfrm>
            <a:off x="406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48" name="QRD">
            <a:extLst>
              <a:ext uri="{FF2B5EF4-FFF2-40B4-BE49-F238E27FC236}">
                <a16:creationId xmlns:a16="http://schemas.microsoft.com/office/drawing/2014/main" id="{00000000-0008-0000-0200-0000BC170200}"/>
              </a:ext>
            </a:extLst>
          </xdr:cNvPr>
          <xdr:cNvSpPr/>
        </xdr:nvSpPr>
        <xdr:spPr>
          <a:xfrm>
            <a:off x="419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49" name="QRD">
            <a:extLst>
              <a:ext uri="{FF2B5EF4-FFF2-40B4-BE49-F238E27FC236}">
                <a16:creationId xmlns:a16="http://schemas.microsoft.com/office/drawing/2014/main" id="{00000000-0008-0000-0200-0000BD170200}"/>
              </a:ext>
            </a:extLst>
          </xdr:cNvPr>
          <xdr:cNvSpPr/>
        </xdr:nvSpPr>
        <xdr:spPr>
          <a:xfrm>
            <a:off x="431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50" name="QRD">
            <a:extLst>
              <a:ext uri="{FF2B5EF4-FFF2-40B4-BE49-F238E27FC236}">
                <a16:creationId xmlns:a16="http://schemas.microsoft.com/office/drawing/2014/main" id="{00000000-0008-0000-0200-0000BE170200}"/>
              </a:ext>
            </a:extLst>
          </xdr:cNvPr>
          <xdr:cNvSpPr/>
        </xdr:nvSpPr>
        <xdr:spPr>
          <a:xfrm>
            <a:off x="444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51" name="QRD">
            <a:extLst>
              <a:ext uri="{FF2B5EF4-FFF2-40B4-BE49-F238E27FC236}">
                <a16:creationId xmlns:a16="http://schemas.microsoft.com/office/drawing/2014/main" id="{00000000-0008-0000-0200-0000BF170200}"/>
              </a:ext>
            </a:extLst>
          </xdr:cNvPr>
          <xdr:cNvSpPr/>
        </xdr:nvSpPr>
        <xdr:spPr>
          <a:xfrm>
            <a:off x="4572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52" name="QRD">
            <a:extLst>
              <a:ext uri="{FF2B5EF4-FFF2-40B4-BE49-F238E27FC236}">
                <a16:creationId xmlns:a16="http://schemas.microsoft.com/office/drawing/2014/main" id="{00000000-0008-0000-0200-0000C0170200}"/>
              </a:ext>
            </a:extLst>
          </xdr:cNvPr>
          <xdr:cNvSpPr/>
        </xdr:nvSpPr>
        <xdr:spPr>
          <a:xfrm>
            <a:off x="5080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53" name="QRD">
            <a:extLst>
              <a:ext uri="{FF2B5EF4-FFF2-40B4-BE49-F238E27FC236}">
                <a16:creationId xmlns:a16="http://schemas.microsoft.com/office/drawing/2014/main" id="{00000000-0008-0000-0200-0000C1170200}"/>
              </a:ext>
            </a:extLst>
          </xdr:cNvPr>
          <xdr:cNvSpPr/>
        </xdr:nvSpPr>
        <xdr:spPr>
          <a:xfrm>
            <a:off x="1016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54" name="QRD">
            <a:extLst>
              <a:ext uri="{FF2B5EF4-FFF2-40B4-BE49-F238E27FC236}">
                <a16:creationId xmlns:a16="http://schemas.microsoft.com/office/drawing/2014/main" id="{00000000-0008-0000-0200-0000C2170200}"/>
              </a:ext>
            </a:extLst>
          </xdr:cNvPr>
          <xdr:cNvSpPr/>
        </xdr:nvSpPr>
        <xdr:spPr>
          <a:xfrm>
            <a:off x="1270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55" name="QRD">
            <a:extLst>
              <a:ext uri="{FF2B5EF4-FFF2-40B4-BE49-F238E27FC236}">
                <a16:creationId xmlns:a16="http://schemas.microsoft.com/office/drawing/2014/main" id="{00000000-0008-0000-0200-0000C3170200}"/>
              </a:ext>
            </a:extLst>
          </xdr:cNvPr>
          <xdr:cNvSpPr/>
        </xdr:nvSpPr>
        <xdr:spPr>
          <a:xfrm>
            <a:off x="1397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56" name="QRD">
            <a:extLst>
              <a:ext uri="{FF2B5EF4-FFF2-40B4-BE49-F238E27FC236}">
                <a16:creationId xmlns:a16="http://schemas.microsoft.com/office/drawing/2014/main" id="{00000000-0008-0000-0200-0000C4170200}"/>
              </a:ext>
            </a:extLst>
          </xdr:cNvPr>
          <xdr:cNvSpPr/>
        </xdr:nvSpPr>
        <xdr:spPr>
          <a:xfrm>
            <a:off x="1524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57" name="QRD">
            <a:extLst>
              <a:ext uri="{FF2B5EF4-FFF2-40B4-BE49-F238E27FC236}">
                <a16:creationId xmlns:a16="http://schemas.microsoft.com/office/drawing/2014/main" id="{00000000-0008-0000-0200-0000C5170200}"/>
              </a:ext>
            </a:extLst>
          </xdr:cNvPr>
          <xdr:cNvSpPr/>
        </xdr:nvSpPr>
        <xdr:spPr>
          <a:xfrm>
            <a:off x="1905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58" name="QRD">
            <a:extLst>
              <a:ext uri="{FF2B5EF4-FFF2-40B4-BE49-F238E27FC236}">
                <a16:creationId xmlns:a16="http://schemas.microsoft.com/office/drawing/2014/main" id="{00000000-0008-0000-0200-0000C6170200}"/>
              </a:ext>
            </a:extLst>
          </xdr:cNvPr>
          <xdr:cNvSpPr/>
        </xdr:nvSpPr>
        <xdr:spPr>
          <a:xfrm>
            <a:off x="2540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59" name="QRD">
            <a:extLst>
              <a:ext uri="{FF2B5EF4-FFF2-40B4-BE49-F238E27FC236}">
                <a16:creationId xmlns:a16="http://schemas.microsoft.com/office/drawing/2014/main" id="{00000000-0008-0000-0200-0000C7170200}"/>
              </a:ext>
            </a:extLst>
          </xdr:cNvPr>
          <xdr:cNvSpPr/>
        </xdr:nvSpPr>
        <xdr:spPr>
          <a:xfrm>
            <a:off x="2794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60" name="QRD">
            <a:extLst>
              <a:ext uri="{FF2B5EF4-FFF2-40B4-BE49-F238E27FC236}">
                <a16:creationId xmlns:a16="http://schemas.microsoft.com/office/drawing/2014/main" id="{00000000-0008-0000-0200-0000C8170200}"/>
              </a:ext>
            </a:extLst>
          </xdr:cNvPr>
          <xdr:cNvSpPr/>
        </xdr:nvSpPr>
        <xdr:spPr>
          <a:xfrm>
            <a:off x="2921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61" name="QRD">
            <a:extLst>
              <a:ext uri="{FF2B5EF4-FFF2-40B4-BE49-F238E27FC236}">
                <a16:creationId xmlns:a16="http://schemas.microsoft.com/office/drawing/2014/main" id="{00000000-0008-0000-0200-0000C9170200}"/>
              </a:ext>
            </a:extLst>
          </xdr:cNvPr>
          <xdr:cNvSpPr/>
        </xdr:nvSpPr>
        <xdr:spPr>
          <a:xfrm>
            <a:off x="3048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62" name="QRD">
            <a:extLst>
              <a:ext uri="{FF2B5EF4-FFF2-40B4-BE49-F238E27FC236}">
                <a16:creationId xmlns:a16="http://schemas.microsoft.com/office/drawing/2014/main" id="{00000000-0008-0000-0200-0000CA170200}"/>
              </a:ext>
            </a:extLst>
          </xdr:cNvPr>
          <xdr:cNvSpPr/>
        </xdr:nvSpPr>
        <xdr:spPr>
          <a:xfrm>
            <a:off x="3175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63" name="QRD">
            <a:extLst>
              <a:ext uri="{FF2B5EF4-FFF2-40B4-BE49-F238E27FC236}">
                <a16:creationId xmlns:a16="http://schemas.microsoft.com/office/drawing/2014/main" id="{00000000-0008-0000-0200-0000CB170200}"/>
              </a:ext>
            </a:extLst>
          </xdr:cNvPr>
          <xdr:cNvSpPr/>
        </xdr:nvSpPr>
        <xdr:spPr>
          <a:xfrm>
            <a:off x="3556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64" name="QRD">
            <a:extLst>
              <a:ext uri="{FF2B5EF4-FFF2-40B4-BE49-F238E27FC236}">
                <a16:creationId xmlns:a16="http://schemas.microsoft.com/office/drawing/2014/main" id="{00000000-0008-0000-0200-0000CC170200}"/>
              </a:ext>
            </a:extLst>
          </xdr:cNvPr>
          <xdr:cNvSpPr/>
        </xdr:nvSpPr>
        <xdr:spPr>
          <a:xfrm>
            <a:off x="3810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65" name="QRD">
            <a:extLst>
              <a:ext uri="{FF2B5EF4-FFF2-40B4-BE49-F238E27FC236}">
                <a16:creationId xmlns:a16="http://schemas.microsoft.com/office/drawing/2014/main" id="{00000000-0008-0000-0200-0000CD170200}"/>
              </a:ext>
            </a:extLst>
          </xdr:cNvPr>
          <xdr:cNvSpPr/>
        </xdr:nvSpPr>
        <xdr:spPr>
          <a:xfrm>
            <a:off x="4064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66" name="QRD">
            <a:extLst>
              <a:ext uri="{FF2B5EF4-FFF2-40B4-BE49-F238E27FC236}">
                <a16:creationId xmlns:a16="http://schemas.microsoft.com/office/drawing/2014/main" id="{00000000-0008-0000-0200-0000CE170200}"/>
              </a:ext>
            </a:extLst>
          </xdr:cNvPr>
          <xdr:cNvSpPr/>
        </xdr:nvSpPr>
        <xdr:spPr>
          <a:xfrm>
            <a:off x="4572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67" name="QRD">
            <a:extLst>
              <a:ext uri="{FF2B5EF4-FFF2-40B4-BE49-F238E27FC236}">
                <a16:creationId xmlns:a16="http://schemas.microsoft.com/office/drawing/2014/main" id="{00000000-0008-0000-0200-0000CF170200}"/>
              </a:ext>
            </a:extLst>
          </xdr:cNvPr>
          <xdr:cNvSpPr/>
        </xdr:nvSpPr>
        <xdr:spPr>
          <a:xfrm>
            <a:off x="4699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68" name="QRD">
            <a:extLst>
              <a:ext uri="{FF2B5EF4-FFF2-40B4-BE49-F238E27FC236}">
                <a16:creationId xmlns:a16="http://schemas.microsoft.com/office/drawing/2014/main" id="{00000000-0008-0000-0200-0000D0170200}"/>
              </a:ext>
            </a:extLst>
          </xdr:cNvPr>
          <xdr:cNvSpPr/>
        </xdr:nvSpPr>
        <xdr:spPr>
          <a:xfrm>
            <a:off x="4826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69" name="QRD">
            <a:extLst>
              <a:ext uri="{FF2B5EF4-FFF2-40B4-BE49-F238E27FC236}">
                <a16:creationId xmlns:a16="http://schemas.microsoft.com/office/drawing/2014/main" id="{00000000-0008-0000-0200-0000D1170200}"/>
              </a:ext>
            </a:extLst>
          </xdr:cNvPr>
          <xdr:cNvSpPr/>
        </xdr:nvSpPr>
        <xdr:spPr>
          <a:xfrm>
            <a:off x="5080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70" name="QRD">
            <a:extLst>
              <a:ext uri="{FF2B5EF4-FFF2-40B4-BE49-F238E27FC236}">
                <a16:creationId xmlns:a16="http://schemas.microsoft.com/office/drawing/2014/main" id="{00000000-0008-0000-0200-0000D2170200}"/>
              </a:ext>
            </a:extLst>
          </xdr:cNvPr>
          <xdr:cNvSpPr/>
        </xdr:nvSpPr>
        <xdr:spPr>
          <a:xfrm>
            <a:off x="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71" name="QRD">
            <a:extLst>
              <a:ext uri="{FF2B5EF4-FFF2-40B4-BE49-F238E27FC236}">
                <a16:creationId xmlns:a16="http://schemas.microsoft.com/office/drawing/2014/main" id="{00000000-0008-0000-0200-0000D3170200}"/>
              </a:ext>
            </a:extLst>
          </xdr:cNvPr>
          <xdr:cNvSpPr/>
        </xdr:nvSpPr>
        <xdr:spPr>
          <a:xfrm>
            <a:off x="127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72" name="QRD">
            <a:extLst>
              <a:ext uri="{FF2B5EF4-FFF2-40B4-BE49-F238E27FC236}">
                <a16:creationId xmlns:a16="http://schemas.microsoft.com/office/drawing/2014/main" id="{00000000-0008-0000-0200-0000D4170200}"/>
              </a:ext>
            </a:extLst>
          </xdr:cNvPr>
          <xdr:cNvSpPr/>
        </xdr:nvSpPr>
        <xdr:spPr>
          <a:xfrm>
            <a:off x="254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73" name="QRD">
            <a:extLst>
              <a:ext uri="{FF2B5EF4-FFF2-40B4-BE49-F238E27FC236}">
                <a16:creationId xmlns:a16="http://schemas.microsoft.com/office/drawing/2014/main" id="{00000000-0008-0000-0200-0000D5170200}"/>
              </a:ext>
            </a:extLst>
          </xdr:cNvPr>
          <xdr:cNvSpPr/>
        </xdr:nvSpPr>
        <xdr:spPr>
          <a:xfrm>
            <a:off x="381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74" name="QRD">
            <a:extLst>
              <a:ext uri="{FF2B5EF4-FFF2-40B4-BE49-F238E27FC236}">
                <a16:creationId xmlns:a16="http://schemas.microsoft.com/office/drawing/2014/main" id="{00000000-0008-0000-0200-0000D6170200}"/>
              </a:ext>
            </a:extLst>
          </xdr:cNvPr>
          <xdr:cNvSpPr/>
        </xdr:nvSpPr>
        <xdr:spPr>
          <a:xfrm>
            <a:off x="508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75" name="QRD">
            <a:extLst>
              <a:ext uri="{FF2B5EF4-FFF2-40B4-BE49-F238E27FC236}">
                <a16:creationId xmlns:a16="http://schemas.microsoft.com/office/drawing/2014/main" id="{00000000-0008-0000-0200-0000D7170200}"/>
              </a:ext>
            </a:extLst>
          </xdr:cNvPr>
          <xdr:cNvSpPr/>
        </xdr:nvSpPr>
        <xdr:spPr>
          <a:xfrm>
            <a:off x="635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76" name="QRD">
            <a:extLst>
              <a:ext uri="{FF2B5EF4-FFF2-40B4-BE49-F238E27FC236}">
                <a16:creationId xmlns:a16="http://schemas.microsoft.com/office/drawing/2014/main" id="{00000000-0008-0000-0200-0000D8170200}"/>
              </a:ext>
            </a:extLst>
          </xdr:cNvPr>
          <xdr:cNvSpPr/>
        </xdr:nvSpPr>
        <xdr:spPr>
          <a:xfrm>
            <a:off x="762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77" name="QRD">
            <a:extLst>
              <a:ext uri="{FF2B5EF4-FFF2-40B4-BE49-F238E27FC236}">
                <a16:creationId xmlns:a16="http://schemas.microsoft.com/office/drawing/2014/main" id="{00000000-0008-0000-0200-0000D9170200}"/>
              </a:ext>
            </a:extLst>
          </xdr:cNvPr>
          <xdr:cNvSpPr/>
        </xdr:nvSpPr>
        <xdr:spPr>
          <a:xfrm>
            <a:off x="1143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78" name="QRD">
            <a:extLst>
              <a:ext uri="{FF2B5EF4-FFF2-40B4-BE49-F238E27FC236}">
                <a16:creationId xmlns:a16="http://schemas.microsoft.com/office/drawing/2014/main" id="{00000000-0008-0000-0200-0000DA170200}"/>
              </a:ext>
            </a:extLst>
          </xdr:cNvPr>
          <xdr:cNvSpPr/>
        </xdr:nvSpPr>
        <xdr:spPr>
          <a:xfrm>
            <a:off x="1397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79" name="QRD">
            <a:extLst>
              <a:ext uri="{FF2B5EF4-FFF2-40B4-BE49-F238E27FC236}">
                <a16:creationId xmlns:a16="http://schemas.microsoft.com/office/drawing/2014/main" id="{00000000-0008-0000-0200-0000DB170200}"/>
              </a:ext>
            </a:extLst>
          </xdr:cNvPr>
          <xdr:cNvSpPr/>
        </xdr:nvSpPr>
        <xdr:spPr>
          <a:xfrm>
            <a:off x="1651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80" name="QRD">
            <a:extLst>
              <a:ext uri="{FF2B5EF4-FFF2-40B4-BE49-F238E27FC236}">
                <a16:creationId xmlns:a16="http://schemas.microsoft.com/office/drawing/2014/main" id="{00000000-0008-0000-0200-0000DC170200}"/>
              </a:ext>
            </a:extLst>
          </xdr:cNvPr>
          <xdr:cNvSpPr/>
        </xdr:nvSpPr>
        <xdr:spPr>
          <a:xfrm>
            <a:off x="1778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81" name="QRD">
            <a:extLst>
              <a:ext uri="{FF2B5EF4-FFF2-40B4-BE49-F238E27FC236}">
                <a16:creationId xmlns:a16="http://schemas.microsoft.com/office/drawing/2014/main" id="{00000000-0008-0000-0200-0000DD170200}"/>
              </a:ext>
            </a:extLst>
          </xdr:cNvPr>
          <xdr:cNvSpPr/>
        </xdr:nvSpPr>
        <xdr:spPr>
          <a:xfrm>
            <a:off x="1905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82" name="QRD">
            <a:extLst>
              <a:ext uri="{FF2B5EF4-FFF2-40B4-BE49-F238E27FC236}">
                <a16:creationId xmlns:a16="http://schemas.microsoft.com/office/drawing/2014/main" id="{00000000-0008-0000-0200-0000DE170200}"/>
              </a:ext>
            </a:extLst>
          </xdr:cNvPr>
          <xdr:cNvSpPr/>
        </xdr:nvSpPr>
        <xdr:spPr>
          <a:xfrm>
            <a:off x="2286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83" name="QRD">
            <a:extLst>
              <a:ext uri="{FF2B5EF4-FFF2-40B4-BE49-F238E27FC236}">
                <a16:creationId xmlns:a16="http://schemas.microsoft.com/office/drawing/2014/main" id="{00000000-0008-0000-0200-0000DF170200}"/>
              </a:ext>
            </a:extLst>
          </xdr:cNvPr>
          <xdr:cNvSpPr/>
        </xdr:nvSpPr>
        <xdr:spPr>
          <a:xfrm>
            <a:off x="2667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84" name="QRD">
            <a:extLst>
              <a:ext uri="{FF2B5EF4-FFF2-40B4-BE49-F238E27FC236}">
                <a16:creationId xmlns:a16="http://schemas.microsoft.com/office/drawing/2014/main" id="{00000000-0008-0000-0200-0000E0170200}"/>
              </a:ext>
            </a:extLst>
          </xdr:cNvPr>
          <xdr:cNvSpPr/>
        </xdr:nvSpPr>
        <xdr:spPr>
          <a:xfrm>
            <a:off x="2794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85" name="QRD">
            <a:extLst>
              <a:ext uri="{FF2B5EF4-FFF2-40B4-BE49-F238E27FC236}">
                <a16:creationId xmlns:a16="http://schemas.microsoft.com/office/drawing/2014/main" id="{00000000-0008-0000-0200-0000E1170200}"/>
              </a:ext>
            </a:extLst>
          </xdr:cNvPr>
          <xdr:cNvSpPr/>
        </xdr:nvSpPr>
        <xdr:spPr>
          <a:xfrm>
            <a:off x="2921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86" name="QRD">
            <a:extLst>
              <a:ext uri="{FF2B5EF4-FFF2-40B4-BE49-F238E27FC236}">
                <a16:creationId xmlns:a16="http://schemas.microsoft.com/office/drawing/2014/main" id="{00000000-0008-0000-0200-0000E2170200}"/>
              </a:ext>
            </a:extLst>
          </xdr:cNvPr>
          <xdr:cNvSpPr/>
        </xdr:nvSpPr>
        <xdr:spPr>
          <a:xfrm>
            <a:off x="3175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87" name="QRD">
            <a:extLst>
              <a:ext uri="{FF2B5EF4-FFF2-40B4-BE49-F238E27FC236}">
                <a16:creationId xmlns:a16="http://schemas.microsoft.com/office/drawing/2014/main" id="{00000000-0008-0000-0200-0000E3170200}"/>
              </a:ext>
            </a:extLst>
          </xdr:cNvPr>
          <xdr:cNvSpPr/>
        </xdr:nvSpPr>
        <xdr:spPr>
          <a:xfrm>
            <a:off x="3302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88" name="QRD">
            <a:extLst>
              <a:ext uri="{FF2B5EF4-FFF2-40B4-BE49-F238E27FC236}">
                <a16:creationId xmlns:a16="http://schemas.microsoft.com/office/drawing/2014/main" id="{00000000-0008-0000-0200-0000E4170200}"/>
              </a:ext>
            </a:extLst>
          </xdr:cNvPr>
          <xdr:cNvSpPr/>
        </xdr:nvSpPr>
        <xdr:spPr>
          <a:xfrm>
            <a:off x="3429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89" name="QRD">
            <a:extLst>
              <a:ext uri="{FF2B5EF4-FFF2-40B4-BE49-F238E27FC236}">
                <a16:creationId xmlns:a16="http://schemas.microsoft.com/office/drawing/2014/main" id="{00000000-0008-0000-0200-0000E5170200}"/>
              </a:ext>
            </a:extLst>
          </xdr:cNvPr>
          <xdr:cNvSpPr/>
        </xdr:nvSpPr>
        <xdr:spPr>
          <a:xfrm>
            <a:off x="3556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90" name="QRD">
            <a:extLst>
              <a:ext uri="{FF2B5EF4-FFF2-40B4-BE49-F238E27FC236}">
                <a16:creationId xmlns:a16="http://schemas.microsoft.com/office/drawing/2014/main" id="{00000000-0008-0000-0200-0000E6170200}"/>
              </a:ext>
            </a:extLst>
          </xdr:cNvPr>
          <xdr:cNvSpPr/>
        </xdr:nvSpPr>
        <xdr:spPr>
          <a:xfrm>
            <a:off x="3683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91" name="QRD">
            <a:extLst>
              <a:ext uri="{FF2B5EF4-FFF2-40B4-BE49-F238E27FC236}">
                <a16:creationId xmlns:a16="http://schemas.microsoft.com/office/drawing/2014/main" id="{00000000-0008-0000-0200-0000E7170200}"/>
              </a:ext>
            </a:extLst>
          </xdr:cNvPr>
          <xdr:cNvSpPr/>
        </xdr:nvSpPr>
        <xdr:spPr>
          <a:xfrm>
            <a:off x="3810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92" name="QRD">
            <a:extLst>
              <a:ext uri="{FF2B5EF4-FFF2-40B4-BE49-F238E27FC236}">
                <a16:creationId xmlns:a16="http://schemas.microsoft.com/office/drawing/2014/main" id="{00000000-0008-0000-0200-0000E8170200}"/>
              </a:ext>
            </a:extLst>
          </xdr:cNvPr>
          <xdr:cNvSpPr/>
        </xdr:nvSpPr>
        <xdr:spPr>
          <a:xfrm>
            <a:off x="3937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93" name="QRD">
            <a:extLst>
              <a:ext uri="{FF2B5EF4-FFF2-40B4-BE49-F238E27FC236}">
                <a16:creationId xmlns:a16="http://schemas.microsoft.com/office/drawing/2014/main" id="{00000000-0008-0000-0200-0000E9170200}"/>
              </a:ext>
            </a:extLst>
          </xdr:cNvPr>
          <xdr:cNvSpPr/>
        </xdr:nvSpPr>
        <xdr:spPr>
          <a:xfrm>
            <a:off x="4064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94" name="QRD">
            <a:extLst>
              <a:ext uri="{FF2B5EF4-FFF2-40B4-BE49-F238E27FC236}">
                <a16:creationId xmlns:a16="http://schemas.microsoft.com/office/drawing/2014/main" id="{00000000-0008-0000-0200-0000EA170200}"/>
              </a:ext>
            </a:extLst>
          </xdr:cNvPr>
          <xdr:cNvSpPr/>
        </xdr:nvSpPr>
        <xdr:spPr>
          <a:xfrm>
            <a:off x="4318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95" name="QRD">
            <a:extLst>
              <a:ext uri="{FF2B5EF4-FFF2-40B4-BE49-F238E27FC236}">
                <a16:creationId xmlns:a16="http://schemas.microsoft.com/office/drawing/2014/main" id="{00000000-0008-0000-0200-0000EB170200}"/>
              </a:ext>
            </a:extLst>
          </xdr:cNvPr>
          <xdr:cNvSpPr/>
        </xdr:nvSpPr>
        <xdr:spPr>
          <a:xfrm>
            <a:off x="4572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96" name="QRD">
            <a:extLst>
              <a:ext uri="{FF2B5EF4-FFF2-40B4-BE49-F238E27FC236}">
                <a16:creationId xmlns:a16="http://schemas.microsoft.com/office/drawing/2014/main" id="{00000000-0008-0000-0200-0000EC170200}"/>
              </a:ext>
            </a:extLst>
          </xdr:cNvPr>
          <xdr:cNvSpPr/>
        </xdr:nvSpPr>
        <xdr:spPr>
          <a:xfrm>
            <a:off x="4699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97" name="QRD">
            <a:extLst>
              <a:ext uri="{FF2B5EF4-FFF2-40B4-BE49-F238E27FC236}">
                <a16:creationId xmlns:a16="http://schemas.microsoft.com/office/drawing/2014/main" id="{00000000-0008-0000-0200-0000ED170200}"/>
              </a:ext>
            </a:extLst>
          </xdr:cNvPr>
          <xdr:cNvSpPr/>
        </xdr:nvSpPr>
        <xdr:spPr>
          <a:xfrm>
            <a:off x="4953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98" name="QRD">
            <a:extLst>
              <a:ext uri="{FF2B5EF4-FFF2-40B4-BE49-F238E27FC236}">
                <a16:creationId xmlns:a16="http://schemas.microsoft.com/office/drawing/2014/main" id="{00000000-0008-0000-0200-0000EE170200}"/>
              </a:ext>
            </a:extLst>
          </xdr:cNvPr>
          <xdr:cNvSpPr/>
        </xdr:nvSpPr>
        <xdr:spPr>
          <a:xfrm>
            <a:off x="5080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99" name="QRD">
            <a:extLst>
              <a:ext uri="{FF2B5EF4-FFF2-40B4-BE49-F238E27FC236}">
                <a16:creationId xmlns:a16="http://schemas.microsoft.com/office/drawing/2014/main" id="{00000000-0008-0000-0200-0000EF170200}"/>
              </a:ext>
            </a:extLst>
          </xdr:cNvPr>
          <xdr:cNvSpPr/>
        </xdr:nvSpPr>
        <xdr:spPr>
          <a:xfrm>
            <a:off x="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00" name="QRD">
            <a:extLst>
              <a:ext uri="{FF2B5EF4-FFF2-40B4-BE49-F238E27FC236}">
                <a16:creationId xmlns:a16="http://schemas.microsoft.com/office/drawing/2014/main" id="{00000000-0008-0000-0200-0000F0170200}"/>
              </a:ext>
            </a:extLst>
          </xdr:cNvPr>
          <xdr:cNvSpPr/>
        </xdr:nvSpPr>
        <xdr:spPr>
          <a:xfrm>
            <a:off x="762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01" name="QRD">
            <a:extLst>
              <a:ext uri="{FF2B5EF4-FFF2-40B4-BE49-F238E27FC236}">
                <a16:creationId xmlns:a16="http://schemas.microsoft.com/office/drawing/2014/main" id="{00000000-0008-0000-0200-0000F1170200}"/>
              </a:ext>
            </a:extLst>
          </xdr:cNvPr>
          <xdr:cNvSpPr/>
        </xdr:nvSpPr>
        <xdr:spPr>
          <a:xfrm>
            <a:off x="1016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02" name="QRD">
            <a:extLst>
              <a:ext uri="{FF2B5EF4-FFF2-40B4-BE49-F238E27FC236}">
                <a16:creationId xmlns:a16="http://schemas.microsoft.com/office/drawing/2014/main" id="{00000000-0008-0000-0200-0000F2170200}"/>
              </a:ext>
            </a:extLst>
          </xdr:cNvPr>
          <xdr:cNvSpPr/>
        </xdr:nvSpPr>
        <xdr:spPr>
          <a:xfrm>
            <a:off x="1143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03" name="QRD">
            <a:extLst>
              <a:ext uri="{FF2B5EF4-FFF2-40B4-BE49-F238E27FC236}">
                <a16:creationId xmlns:a16="http://schemas.microsoft.com/office/drawing/2014/main" id="{00000000-0008-0000-0200-0000F3170200}"/>
              </a:ext>
            </a:extLst>
          </xdr:cNvPr>
          <xdr:cNvSpPr/>
        </xdr:nvSpPr>
        <xdr:spPr>
          <a:xfrm>
            <a:off x="1397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04" name="QRD">
            <a:extLst>
              <a:ext uri="{FF2B5EF4-FFF2-40B4-BE49-F238E27FC236}">
                <a16:creationId xmlns:a16="http://schemas.microsoft.com/office/drawing/2014/main" id="{00000000-0008-0000-0200-0000F4170200}"/>
              </a:ext>
            </a:extLst>
          </xdr:cNvPr>
          <xdr:cNvSpPr/>
        </xdr:nvSpPr>
        <xdr:spPr>
          <a:xfrm>
            <a:off x="1651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05" name="QRD">
            <a:extLst>
              <a:ext uri="{FF2B5EF4-FFF2-40B4-BE49-F238E27FC236}">
                <a16:creationId xmlns:a16="http://schemas.microsoft.com/office/drawing/2014/main" id="{00000000-0008-0000-0200-0000F5170200}"/>
              </a:ext>
            </a:extLst>
          </xdr:cNvPr>
          <xdr:cNvSpPr/>
        </xdr:nvSpPr>
        <xdr:spPr>
          <a:xfrm>
            <a:off x="1905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06" name="QRD">
            <a:extLst>
              <a:ext uri="{FF2B5EF4-FFF2-40B4-BE49-F238E27FC236}">
                <a16:creationId xmlns:a16="http://schemas.microsoft.com/office/drawing/2014/main" id="{00000000-0008-0000-0200-0000F6170200}"/>
              </a:ext>
            </a:extLst>
          </xdr:cNvPr>
          <xdr:cNvSpPr/>
        </xdr:nvSpPr>
        <xdr:spPr>
          <a:xfrm>
            <a:off x="2032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07" name="QRD">
            <a:extLst>
              <a:ext uri="{FF2B5EF4-FFF2-40B4-BE49-F238E27FC236}">
                <a16:creationId xmlns:a16="http://schemas.microsoft.com/office/drawing/2014/main" id="{00000000-0008-0000-0200-0000F7170200}"/>
              </a:ext>
            </a:extLst>
          </xdr:cNvPr>
          <xdr:cNvSpPr/>
        </xdr:nvSpPr>
        <xdr:spPr>
          <a:xfrm>
            <a:off x="2159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08" name="QRD">
            <a:extLst>
              <a:ext uri="{FF2B5EF4-FFF2-40B4-BE49-F238E27FC236}">
                <a16:creationId xmlns:a16="http://schemas.microsoft.com/office/drawing/2014/main" id="{00000000-0008-0000-0200-0000F8170200}"/>
              </a:ext>
            </a:extLst>
          </xdr:cNvPr>
          <xdr:cNvSpPr/>
        </xdr:nvSpPr>
        <xdr:spPr>
          <a:xfrm>
            <a:off x="2667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09" name="QRD">
            <a:extLst>
              <a:ext uri="{FF2B5EF4-FFF2-40B4-BE49-F238E27FC236}">
                <a16:creationId xmlns:a16="http://schemas.microsoft.com/office/drawing/2014/main" id="{00000000-0008-0000-0200-0000F9170200}"/>
              </a:ext>
            </a:extLst>
          </xdr:cNvPr>
          <xdr:cNvSpPr/>
        </xdr:nvSpPr>
        <xdr:spPr>
          <a:xfrm>
            <a:off x="2794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10" name="QRD">
            <a:extLst>
              <a:ext uri="{FF2B5EF4-FFF2-40B4-BE49-F238E27FC236}">
                <a16:creationId xmlns:a16="http://schemas.microsoft.com/office/drawing/2014/main" id="{00000000-0008-0000-0200-0000FA170200}"/>
              </a:ext>
            </a:extLst>
          </xdr:cNvPr>
          <xdr:cNvSpPr/>
        </xdr:nvSpPr>
        <xdr:spPr>
          <a:xfrm>
            <a:off x="2921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11" name="QRD">
            <a:extLst>
              <a:ext uri="{FF2B5EF4-FFF2-40B4-BE49-F238E27FC236}">
                <a16:creationId xmlns:a16="http://schemas.microsoft.com/office/drawing/2014/main" id="{00000000-0008-0000-0200-0000FB170200}"/>
              </a:ext>
            </a:extLst>
          </xdr:cNvPr>
          <xdr:cNvSpPr/>
        </xdr:nvSpPr>
        <xdr:spPr>
          <a:xfrm>
            <a:off x="3302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12" name="QRD">
            <a:extLst>
              <a:ext uri="{FF2B5EF4-FFF2-40B4-BE49-F238E27FC236}">
                <a16:creationId xmlns:a16="http://schemas.microsoft.com/office/drawing/2014/main" id="{00000000-0008-0000-0200-0000FC170200}"/>
              </a:ext>
            </a:extLst>
          </xdr:cNvPr>
          <xdr:cNvSpPr/>
        </xdr:nvSpPr>
        <xdr:spPr>
          <a:xfrm>
            <a:off x="3429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13" name="QRD">
            <a:extLst>
              <a:ext uri="{FF2B5EF4-FFF2-40B4-BE49-F238E27FC236}">
                <a16:creationId xmlns:a16="http://schemas.microsoft.com/office/drawing/2014/main" id="{00000000-0008-0000-0200-0000FD170200}"/>
              </a:ext>
            </a:extLst>
          </xdr:cNvPr>
          <xdr:cNvSpPr/>
        </xdr:nvSpPr>
        <xdr:spPr>
          <a:xfrm>
            <a:off x="3556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14" name="QRD">
            <a:extLst>
              <a:ext uri="{FF2B5EF4-FFF2-40B4-BE49-F238E27FC236}">
                <a16:creationId xmlns:a16="http://schemas.microsoft.com/office/drawing/2014/main" id="{00000000-0008-0000-0200-0000FE170200}"/>
              </a:ext>
            </a:extLst>
          </xdr:cNvPr>
          <xdr:cNvSpPr/>
        </xdr:nvSpPr>
        <xdr:spPr>
          <a:xfrm>
            <a:off x="3683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15" name="QRD">
            <a:extLst>
              <a:ext uri="{FF2B5EF4-FFF2-40B4-BE49-F238E27FC236}">
                <a16:creationId xmlns:a16="http://schemas.microsoft.com/office/drawing/2014/main" id="{00000000-0008-0000-0200-0000FF170200}"/>
              </a:ext>
            </a:extLst>
          </xdr:cNvPr>
          <xdr:cNvSpPr/>
        </xdr:nvSpPr>
        <xdr:spPr>
          <a:xfrm>
            <a:off x="4064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16" name="QRD">
            <a:extLst>
              <a:ext uri="{FF2B5EF4-FFF2-40B4-BE49-F238E27FC236}">
                <a16:creationId xmlns:a16="http://schemas.microsoft.com/office/drawing/2014/main" id="{00000000-0008-0000-0200-000000180200}"/>
              </a:ext>
            </a:extLst>
          </xdr:cNvPr>
          <xdr:cNvSpPr/>
        </xdr:nvSpPr>
        <xdr:spPr>
          <a:xfrm>
            <a:off x="4572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17" name="QRD">
            <a:extLst>
              <a:ext uri="{FF2B5EF4-FFF2-40B4-BE49-F238E27FC236}">
                <a16:creationId xmlns:a16="http://schemas.microsoft.com/office/drawing/2014/main" id="{00000000-0008-0000-0200-000001180200}"/>
              </a:ext>
            </a:extLst>
          </xdr:cNvPr>
          <xdr:cNvSpPr/>
        </xdr:nvSpPr>
        <xdr:spPr>
          <a:xfrm>
            <a:off x="4953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18" name="QRD">
            <a:extLst>
              <a:ext uri="{FF2B5EF4-FFF2-40B4-BE49-F238E27FC236}">
                <a16:creationId xmlns:a16="http://schemas.microsoft.com/office/drawing/2014/main" id="{00000000-0008-0000-0200-000002180200}"/>
              </a:ext>
            </a:extLst>
          </xdr:cNvPr>
          <xdr:cNvSpPr/>
        </xdr:nvSpPr>
        <xdr:spPr>
          <a:xfrm>
            <a:off x="5080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19" name="QRD">
            <a:extLst>
              <a:ext uri="{FF2B5EF4-FFF2-40B4-BE49-F238E27FC236}">
                <a16:creationId xmlns:a16="http://schemas.microsoft.com/office/drawing/2014/main" id="{00000000-0008-0000-0200-000003180200}"/>
              </a:ext>
            </a:extLst>
          </xdr:cNvPr>
          <xdr:cNvSpPr/>
        </xdr:nvSpPr>
        <xdr:spPr>
          <a:xfrm>
            <a:off x="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20" name="QRD">
            <a:extLst>
              <a:ext uri="{FF2B5EF4-FFF2-40B4-BE49-F238E27FC236}">
                <a16:creationId xmlns:a16="http://schemas.microsoft.com/office/drawing/2014/main" id="{00000000-0008-0000-0200-000004180200}"/>
              </a:ext>
            </a:extLst>
          </xdr:cNvPr>
          <xdr:cNvSpPr/>
        </xdr:nvSpPr>
        <xdr:spPr>
          <a:xfrm>
            <a:off x="254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21" name="QRD">
            <a:extLst>
              <a:ext uri="{FF2B5EF4-FFF2-40B4-BE49-F238E27FC236}">
                <a16:creationId xmlns:a16="http://schemas.microsoft.com/office/drawing/2014/main" id="{00000000-0008-0000-0200-000005180200}"/>
              </a:ext>
            </a:extLst>
          </xdr:cNvPr>
          <xdr:cNvSpPr/>
        </xdr:nvSpPr>
        <xdr:spPr>
          <a:xfrm>
            <a:off x="381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22" name="QRD">
            <a:extLst>
              <a:ext uri="{FF2B5EF4-FFF2-40B4-BE49-F238E27FC236}">
                <a16:creationId xmlns:a16="http://schemas.microsoft.com/office/drawing/2014/main" id="{00000000-0008-0000-0200-000006180200}"/>
              </a:ext>
            </a:extLst>
          </xdr:cNvPr>
          <xdr:cNvSpPr/>
        </xdr:nvSpPr>
        <xdr:spPr>
          <a:xfrm>
            <a:off x="508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23" name="QRD">
            <a:extLst>
              <a:ext uri="{FF2B5EF4-FFF2-40B4-BE49-F238E27FC236}">
                <a16:creationId xmlns:a16="http://schemas.microsoft.com/office/drawing/2014/main" id="{00000000-0008-0000-0200-000007180200}"/>
              </a:ext>
            </a:extLst>
          </xdr:cNvPr>
          <xdr:cNvSpPr/>
        </xdr:nvSpPr>
        <xdr:spPr>
          <a:xfrm>
            <a:off x="762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24" name="QRD">
            <a:extLst>
              <a:ext uri="{FF2B5EF4-FFF2-40B4-BE49-F238E27FC236}">
                <a16:creationId xmlns:a16="http://schemas.microsoft.com/office/drawing/2014/main" id="{00000000-0008-0000-0200-000008180200}"/>
              </a:ext>
            </a:extLst>
          </xdr:cNvPr>
          <xdr:cNvSpPr/>
        </xdr:nvSpPr>
        <xdr:spPr>
          <a:xfrm>
            <a:off x="1016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25" name="QRD">
            <a:extLst>
              <a:ext uri="{FF2B5EF4-FFF2-40B4-BE49-F238E27FC236}">
                <a16:creationId xmlns:a16="http://schemas.microsoft.com/office/drawing/2014/main" id="{00000000-0008-0000-0200-000009180200}"/>
              </a:ext>
            </a:extLst>
          </xdr:cNvPr>
          <xdr:cNvSpPr/>
        </xdr:nvSpPr>
        <xdr:spPr>
          <a:xfrm>
            <a:off x="1270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26" name="QRD">
            <a:extLst>
              <a:ext uri="{FF2B5EF4-FFF2-40B4-BE49-F238E27FC236}">
                <a16:creationId xmlns:a16="http://schemas.microsoft.com/office/drawing/2014/main" id="{00000000-0008-0000-0200-00000A180200}"/>
              </a:ext>
            </a:extLst>
          </xdr:cNvPr>
          <xdr:cNvSpPr/>
        </xdr:nvSpPr>
        <xdr:spPr>
          <a:xfrm>
            <a:off x="1651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27" name="QRD">
            <a:extLst>
              <a:ext uri="{FF2B5EF4-FFF2-40B4-BE49-F238E27FC236}">
                <a16:creationId xmlns:a16="http://schemas.microsoft.com/office/drawing/2014/main" id="{00000000-0008-0000-0200-00000B180200}"/>
              </a:ext>
            </a:extLst>
          </xdr:cNvPr>
          <xdr:cNvSpPr/>
        </xdr:nvSpPr>
        <xdr:spPr>
          <a:xfrm>
            <a:off x="2159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28" name="QRD">
            <a:extLst>
              <a:ext uri="{FF2B5EF4-FFF2-40B4-BE49-F238E27FC236}">
                <a16:creationId xmlns:a16="http://schemas.microsoft.com/office/drawing/2014/main" id="{00000000-0008-0000-0200-00000C180200}"/>
              </a:ext>
            </a:extLst>
          </xdr:cNvPr>
          <xdr:cNvSpPr/>
        </xdr:nvSpPr>
        <xdr:spPr>
          <a:xfrm>
            <a:off x="2286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29" name="QRD">
            <a:extLst>
              <a:ext uri="{FF2B5EF4-FFF2-40B4-BE49-F238E27FC236}">
                <a16:creationId xmlns:a16="http://schemas.microsoft.com/office/drawing/2014/main" id="{00000000-0008-0000-0200-00000D180200}"/>
              </a:ext>
            </a:extLst>
          </xdr:cNvPr>
          <xdr:cNvSpPr/>
        </xdr:nvSpPr>
        <xdr:spPr>
          <a:xfrm>
            <a:off x="2413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30" name="QRD">
            <a:extLst>
              <a:ext uri="{FF2B5EF4-FFF2-40B4-BE49-F238E27FC236}">
                <a16:creationId xmlns:a16="http://schemas.microsoft.com/office/drawing/2014/main" id="{00000000-0008-0000-0200-00000E180200}"/>
              </a:ext>
            </a:extLst>
          </xdr:cNvPr>
          <xdr:cNvSpPr/>
        </xdr:nvSpPr>
        <xdr:spPr>
          <a:xfrm>
            <a:off x="2667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31" name="QRD">
            <a:extLst>
              <a:ext uri="{FF2B5EF4-FFF2-40B4-BE49-F238E27FC236}">
                <a16:creationId xmlns:a16="http://schemas.microsoft.com/office/drawing/2014/main" id="{00000000-0008-0000-0200-00000F180200}"/>
              </a:ext>
            </a:extLst>
          </xdr:cNvPr>
          <xdr:cNvSpPr/>
        </xdr:nvSpPr>
        <xdr:spPr>
          <a:xfrm>
            <a:off x="3175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32" name="QRD">
            <a:extLst>
              <a:ext uri="{FF2B5EF4-FFF2-40B4-BE49-F238E27FC236}">
                <a16:creationId xmlns:a16="http://schemas.microsoft.com/office/drawing/2014/main" id="{00000000-0008-0000-0200-000010180200}"/>
              </a:ext>
            </a:extLst>
          </xdr:cNvPr>
          <xdr:cNvSpPr/>
        </xdr:nvSpPr>
        <xdr:spPr>
          <a:xfrm>
            <a:off x="3556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33" name="QRD">
            <a:extLst>
              <a:ext uri="{FF2B5EF4-FFF2-40B4-BE49-F238E27FC236}">
                <a16:creationId xmlns:a16="http://schemas.microsoft.com/office/drawing/2014/main" id="{00000000-0008-0000-0200-000011180200}"/>
              </a:ext>
            </a:extLst>
          </xdr:cNvPr>
          <xdr:cNvSpPr/>
        </xdr:nvSpPr>
        <xdr:spPr>
          <a:xfrm>
            <a:off x="3683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34" name="QRD">
            <a:extLst>
              <a:ext uri="{FF2B5EF4-FFF2-40B4-BE49-F238E27FC236}">
                <a16:creationId xmlns:a16="http://schemas.microsoft.com/office/drawing/2014/main" id="{00000000-0008-0000-0200-000012180200}"/>
              </a:ext>
            </a:extLst>
          </xdr:cNvPr>
          <xdr:cNvSpPr/>
        </xdr:nvSpPr>
        <xdr:spPr>
          <a:xfrm>
            <a:off x="3937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35" name="QRD">
            <a:extLst>
              <a:ext uri="{FF2B5EF4-FFF2-40B4-BE49-F238E27FC236}">
                <a16:creationId xmlns:a16="http://schemas.microsoft.com/office/drawing/2014/main" id="{00000000-0008-0000-0200-000013180200}"/>
              </a:ext>
            </a:extLst>
          </xdr:cNvPr>
          <xdr:cNvSpPr/>
        </xdr:nvSpPr>
        <xdr:spPr>
          <a:xfrm>
            <a:off x="4064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36" name="QRD">
            <a:extLst>
              <a:ext uri="{FF2B5EF4-FFF2-40B4-BE49-F238E27FC236}">
                <a16:creationId xmlns:a16="http://schemas.microsoft.com/office/drawing/2014/main" id="{00000000-0008-0000-0200-000014180200}"/>
              </a:ext>
            </a:extLst>
          </xdr:cNvPr>
          <xdr:cNvSpPr/>
        </xdr:nvSpPr>
        <xdr:spPr>
          <a:xfrm>
            <a:off x="4191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37" name="QRD">
            <a:extLst>
              <a:ext uri="{FF2B5EF4-FFF2-40B4-BE49-F238E27FC236}">
                <a16:creationId xmlns:a16="http://schemas.microsoft.com/office/drawing/2014/main" id="{00000000-0008-0000-0200-000015180200}"/>
              </a:ext>
            </a:extLst>
          </xdr:cNvPr>
          <xdr:cNvSpPr/>
        </xdr:nvSpPr>
        <xdr:spPr>
          <a:xfrm>
            <a:off x="4318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38" name="QRD">
            <a:extLst>
              <a:ext uri="{FF2B5EF4-FFF2-40B4-BE49-F238E27FC236}">
                <a16:creationId xmlns:a16="http://schemas.microsoft.com/office/drawing/2014/main" id="{00000000-0008-0000-0200-000016180200}"/>
              </a:ext>
            </a:extLst>
          </xdr:cNvPr>
          <xdr:cNvSpPr/>
        </xdr:nvSpPr>
        <xdr:spPr>
          <a:xfrm>
            <a:off x="4445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39" name="QRD">
            <a:extLst>
              <a:ext uri="{FF2B5EF4-FFF2-40B4-BE49-F238E27FC236}">
                <a16:creationId xmlns:a16="http://schemas.microsoft.com/office/drawing/2014/main" id="{00000000-0008-0000-0200-000017180200}"/>
              </a:ext>
            </a:extLst>
          </xdr:cNvPr>
          <xdr:cNvSpPr/>
        </xdr:nvSpPr>
        <xdr:spPr>
          <a:xfrm>
            <a:off x="4572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40" name="QRD">
            <a:extLst>
              <a:ext uri="{FF2B5EF4-FFF2-40B4-BE49-F238E27FC236}">
                <a16:creationId xmlns:a16="http://schemas.microsoft.com/office/drawing/2014/main" id="{00000000-0008-0000-0200-000018180200}"/>
              </a:ext>
            </a:extLst>
          </xdr:cNvPr>
          <xdr:cNvSpPr/>
        </xdr:nvSpPr>
        <xdr:spPr>
          <a:xfrm>
            <a:off x="0" y="469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41" name="QRD">
            <a:extLst>
              <a:ext uri="{FF2B5EF4-FFF2-40B4-BE49-F238E27FC236}">
                <a16:creationId xmlns:a16="http://schemas.microsoft.com/office/drawing/2014/main" id="{00000000-0008-0000-0200-000019180200}"/>
              </a:ext>
            </a:extLst>
          </xdr:cNvPr>
          <xdr:cNvSpPr/>
        </xdr:nvSpPr>
        <xdr:spPr>
          <a:xfrm>
            <a:off x="25400" y="469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42" name="QRD">
            <a:extLst>
              <a:ext uri="{FF2B5EF4-FFF2-40B4-BE49-F238E27FC236}">
                <a16:creationId xmlns:a16="http://schemas.microsoft.com/office/drawing/2014/main" id="{00000000-0008-0000-0200-00001A180200}"/>
              </a:ext>
            </a:extLst>
          </xdr:cNvPr>
          <xdr:cNvSpPr/>
        </xdr:nvSpPr>
        <xdr:spPr>
          <a:xfrm>
            <a:off x="38100" y="469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43" name="QRD">
            <a:extLst>
              <a:ext uri="{FF2B5EF4-FFF2-40B4-BE49-F238E27FC236}">
                <a16:creationId xmlns:a16="http://schemas.microsoft.com/office/drawing/2014/main" id="{00000000-0008-0000-0200-00001B180200}"/>
              </a:ext>
            </a:extLst>
          </xdr:cNvPr>
          <xdr:cNvSpPr/>
        </xdr:nvSpPr>
        <xdr:spPr>
          <a:xfrm>
            <a:off x="50800" y="469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44" name="QRD">
            <a:extLst>
              <a:ext uri="{FF2B5EF4-FFF2-40B4-BE49-F238E27FC236}">
                <a16:creationId xmlns:a16="http://schemas.microsoft.com/office/drawing/2014/main" id="{00000000-0008-0000-0200-00001C180200}"/>
              </a:ext>
            </a:extLst>
          </xdr:cNvPr>
          <xdr:cNvSpPr/>
        </xdr:nvSpPr>
        <xdr:spPr>
          <a:xfrm>
            <a:off x="76200" y="469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45" name="QRD">
            <a:extLst>
              <a:ext uri="{FF2B5EF4-FFF2-40B4-BE49-F238E27FC236}">
                <a16:creationId xmlns:a16="http://schemas.microsoft.com/office/drawing/2014/main" id="{00000000-0008-0000-0200-00001D180200}"/>
              </a:ext>
            </a:extLst>
          </xdr:cNvPr>
          <xdr:cNvSpPr/>
        </xdr:nvSpPr>
        <xdr:spPr>
          <a:xfrm>
            <a:off x="152400" y="469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46" name="QRD">
            <a:extLst>
              <a:ext uri="{FF2B5EF4-FFF2-40B4-BE49-F238E27FC236}">
                <a16:creationId xmlns:a16="http://schemas.microsoft.com/office/drawing/2014/main" id="{00000000-0008-0000-0200-00001E180200}"/>
              </a:ext>
            </a:extLst>
          </xdr:cNvPr>
          <xdr:cNvSpPr/>
        </xdr:nvSpPr>
        <xdr:spPr>
          <a:xfrm>
            <a:off x="165100" y="469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47" name="QRD">
            <a:extLst>
              <a:ext uri="{FF2B5EF4-FFF2-40B4-BE49-F238E27FC236}">
                <a16:creationId xmlns:a16="http://schemas.microsoft.com/office/drawing/2014/main" id="{00000000-0008-0000-0200-00001F180200}"/>
              </a:ext>
            </a:extLst>
          </xdr:cNvPr>
          <xdr:cNvSpPr/>
        </xdr:nvSpPr>
        <xdr:spPr>
          <a:xfrm>
            <a:off x="177800" y="469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48" name="QRD">
            <a:extLst>
              <a:ext uri="{FF2B5EF4-FFF2-40B4-BE49-F238E27FC236}">
                <a16:creationId xmlns:a16="http://schemas.microsoft.com/office/drawing/2014/main" id="{00000000-0008-0000-0200-000020180200}"/>
              </a:ext>
            </a:extLst>
          </xdr:cNvPr>
          <xdr:cNvSpPr/>
        </xdr:nvSpPr>
        <xdr:spPr>
          <a:xfrm>
            <a:off x="203200" y="469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49" name="QRD">
            <a:extLst>
              <a:ext uri="{FF2B5EF4-FFF2-40B4-BE49-F238E27FC236}">
                <a16:creationId xmlns:a16="http://schemas.microsoft.com/office/drawing/2014/main" id="{00000000-0008-0000-0200-000021180200}"/>
              </a:ext>
            </a:extLst>
          </xdr:cNvPr>
          <xdr:cNvSpPr/>
        </xdr:nvSpPr>
        <xdr:spPr>
          <a:xfrm>
            <a:off x="254000" y="469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50" name="QRD">
            <a:extLst>
              <a:ext uri="{FF2B5EF4-FFF2-40B4-BE49-F238E27FC236}">
                <a16:creationId xmlns:a16="http://schemas.microsoft.com/office/drawing/2014/main" id="{00000000-0008-0000-0200-000022180200}"/>
              </a:ext>
            </a:extLst>
          </xdr:cNvPr>
          <xdr:cNvSpPr/>
        </xdr:nvSpPr>
        <xdr:spPr>
          <a:xfrm>
            <a:off x="279400" y="469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51" name="QRD">
            <a:extLst>
              <a:ext uri="{FF2B5EF4-FFF2-40B4-BE49-F238E27FC236}">
                <a16:creationId xmlns:a16="http://schemas.microsoft.com/office/drawing/2014/main" id="{00000000-0008-0000-0200-000023180200}"/>
              </a:ext>
            </a:extLst>
          </xdr:cNvPr>
          <xdr:cNvSpPr/>
        </xdr:nvSpPr>
        <xdr:spPr>
          <a:xfrm>
            <a:off x="317500" y="469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52" name="QRD">
            <a:extLst>
              <a:ext uri="{FF2B5EF4-FFF2-40B4-BE49-F238E27FC236}">
                <a16:creationId xmlns:a16="http://schemas.microsoft.com/office/drawing/2014/main" id="{00000000-0008-0000-0200-000024180200}"/>
              </a:ext>
            </a:extLst>
          </xdr:cNvPr>
          <xdr:cNvSpPr/>
        </xdr:nvSpPr>
        <xdr:spPr>
          <a:xfrm>
            <a:off x="330200" y="469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53" name="QRD">
            <a:extLst>
              <a:ext uri="{FF2B5EF4-FFF2-40B4-BE49-F238E27FC236}">
                <a16:creationId xmlns:a16="http://schemas.microsoft.com/office/drawing/2014/main" id="{00000000-0008-0000-0200-000025180200}"/>
              </a:ext>
            </a:extLst>
          </xdr:cNvPr>
          <xdr:cNvSpPr/>
        </xdr:nvSpPr>
        <xdr:spPr>
          <a:xfrm>
            <a:off x="342900" y="469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54" name="QRD">
            <a:extLst>
              <a:ext uri="{FF2B5EF4-FFF2-40B4-BE49-F238E27FC236}">
                <a16:creationId xmlns:a16="http://schemas.microsoft.com/office/drawing/2014/main" id="{00000000-0008-0000-0200-000026180200}"/>
              </a:ext>
            </a:extLst>
          </xdr:cNvPr>
          <xdr:cNvSpPr/>
        </xdr:nvSpPr>
        <xdr:spPr>
          <a:xfrm>
            <a:off x="355600" y="469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55" name="QRD">
            <a:extLst>
              <a:ext uri="{FF2B5EF4-FFF2-40B4-BE49-F238E27FC236}">
                <a16:creationId xmlns:a16="http://schemas.microsoft.com/office/drawing/2014/main" id="{00000000-0008-0000-0200-000027180200}"/>
              </a:ext>
            </a:extLst>
          </xdr:cNvPr>
          <xdr:cNvSpPr/>
        </xdr:nvSpPr>
        <xdr:spPr>
          <a:xfrm>
            <a:off x="368300" y="469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56" name="QRD">
            <a:extLst>
              <a:ext uri="{FF2B5EF4-FFF2-40B4-BE49-F238E27FC236}">
                <a16:creationId xmlns:a16="http://schemas.microsoft.com/office/drawing/2014/main" id="{00000000-0008-0000-0200-000028180200}"/>
              </a:ext>
            </a:extLst>
          </xdr:cNvPr>
          <xdr:cNvSpPr/>
        </xdr:nvSpPr>
        <xdr:spPr>
          <a:xfrm>
            <a:off x="381000" y="469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57" name="QRD">
            <a:extLst>
              <a:ext uri="{FF2B5EF4-FFF2-40B4-BE49-F238E27FC236}">
                <a16:creationId xmlns:a16="http://schemas.microsoft.com/office/drawing/2014/main" id="{00000000-0008-0000-0200-000029180200}"/>
              </a:ext>
            </a:extLst>
          </xdr:cNvPr>
          <xdr:cNvSpPr/>
        </xdr:nvSpPr>
        <xdr:spPr>
          <a:xfrm>
            <a:off x="393700" y="469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58" name="QRD">
            <a:extLst>
              <a:ext uri="{FF2B5EF4-FFF2-40B4-BE49-F238E27FC236}">
                <a16:creationId xmlns:a16="http://schemas.microsoft.com/office/drawing/2014/main" id="{00000000-0008-0000-0200-00002A180200}"/>
              </a:ext>
            </a:extLst>
          </xdr:cNvPr>
          <xdr:cNvSpPr/>
        </xdr:nvSpPr>
        <xdr:spPr>
          <a:xfrm>
            <a:off x="444500" y="469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59" name="QRD">
            <a:extLst>
              <a:ext uri="{FF2B5EF4-FFF2-40B4-BE49-F238E27FC236}">
                <a16:creationId xmlns:a16="http://schemas.microsoft.com/office/drawing/2014/main" id="{00000000-0008-0000-0200-00002B180200}"/>
              </a:ext>
            </a:extLst>
          </xdr:cNvPr>
          <xdr:cNvSpPr/>
        </xdr:nvSpPr>
        <xdr:spPr>
          <a:xfrm>
            <a:off x="469900" y="469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60" name="QRD">
            <a:extLst>
              <a:ext uri="{FF2B5EF4-FFF2-40B4-BE49-F238E27FC236}">
                <a16:creationId xmlns:a16="http://schemas.microsoft.com/office/drawing/2014/main" id="{00000000-0008-0000-0200-00002C180200}"/>
              </a:ext>
            </a:extLst>
          </xdr:cNvPr>
          <xdr:cNvSpPr/>
        </xdr:nvSpPr>
        <xdr:spPr>
          <a:xfrm>
            <a:off x="482600" y="469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61" name="QRD">
            <a:extLst>
              <a:ext uri="{FF2B5EF4-FFF2-40B4-BE49-F238E27FC236}">
                <a16:creationId xmlns:a16="http://schemas.microsoft.com/office/drawing/2014/main" id="{00000000-0008-0000-0200-00002D180200}"/>
              </a:ext>
            </a:extLst>
          </xdr:cNvPr>
          <xdr:cNvSpPr/>
        </xdr:nvSpPr>
        <xdr:spPr>
          <a:xfrm>
            <a:off x="495300" y="469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62" name="QRD">
            <a:extLst>
              <a:ext uri="{FF2B5EF4-FFF2-40B4-BE49-F238E27FC236}">
                <a16:creationId xmlns:a16="http://schemas.microsoft.com/office/drawing/2014/main" id="{00000000-0008-0000-0200-00002E180200}"/>
              </a:ext>
            </a:extLst>
          </xdr:cNvPr>
          <xdr:cNvSpPr/>
        </xdr:nvSpPr>
        <xdr:spPr>
          <a:xfrm>
            <a:off x="508000" y="469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63" name="QRD">
            <a:extLst>
              <a:ext uri="{FF2B5EF4-FFF2-40B4-BE49-F238E27FC236}">
                <a16:creationId xmlns:a16="http://schemas.microsoft.com/office/drawing/2014/main" id="{00000000-0008-0000-0200-00002F180200}"/>
              </a:ext>
            </a:extLst>
          </xdr:cNvPr>
          <xdr:cNvSpPr/>
        </xdr:nvSpPr>
        <xdr:spPr>
          <a:xfrm>
            <a:off x="0" y="482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64" name="QRD">
            <a:extLst>
              <a:ext uri="{FF2B5EF4-FFF2-40B4-BE49-F238E27FC236}">
                <a16:creationId xmlns:a16="http://schemas.microsoft.com/office/drawing/2014/main" id="{00000000-0008-0000-0200-000030180200}"/>
              </a:ext>
            </a:extLst>
          </xdr:cNvPr>
          <xdr:cNvSpPr/>
        </xdr:nvSpPr>
        <xdr:spPr>
          <a:xfrm>
            <a:off x="25400" y="482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65" name="QRD">
            <a:extLst>
              <a:ext uri="{FF2B5EF4-FFF2-40B4-BE49-F238E27FC236}">
                <a16:creationId xmlns:a16="http://schemas.microsoft.com/office/drawing/2014/main" id="{00000000-0008-0000-0200-000031180200}"/>
              </a:ext>
            </a:extLst>
          </xdr:cNvPr>
          <xdr:cNvSpPr/>
        </xdr:nvSpPr>
        <xdr:spPr>
          <a:xfrm>
            <a:off x="38100" y="482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66" name="QRD">
            <a:extLst>
              <a:ext uri="{FF2B5EF4-FFF2-40B4-BE49-F238E27FC236}">
                <a16:creationId xmlns:a16="http://schemas.microsoft.com/office/drawing/2014/main" id="{00000000-0008-0000-0200-000032180200}"/>
              </a:ext>
            </a:extLst>
          </xdr:cNvPr>
          <xdr:cNvSpPr/>
        </xdr:nvSpPr>
        <xdr:spPr>
          <a:xfrm>
            <a:off x="50800" y="482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67" name="QRD">
            <a:extLst>
              <a:ext uri="{FF2B5EF4-FFF2-40B4-BE49-F238E27FC236}">
                <a16:creationId xmlns:a16="http://schemas.microsoft.com/office/drawing/2014/main" id="{00000000-0008-0000-0200-000033180200}"/>
              </a:ext>
            </a:extLst>
          </xdr:cNvPr>
          <xdr:cNvSpPr/>
        </xdr:nvSpPr>
        <xdr:spPr>
          <a:xfrm>
            <a:off x="76200" y="482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68" name="QRD">
            <a:extLst>
              <a:ext uri="{FF2B5EF4-FFF2-40B4-BE49-F238E27FC236}">
                <a16:creationId xmlns:a16="http://schemas.microsoft.com/office/drawing/2014/main" id="{00000000-0008-0000-0200-000034180200}"/>
              </a:ext>
            </a:extLst>
          </xdr:cNvPr>
          <xdr:cNvSpPr/>
        </xdr:nvSpPr>
        <xdr:spPr>
          <a:xfrm>
            <a:off x="127000" y="482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69" name="QRD">
            <a:extLst>
              <a:ext uri="{FF2B5EF4-FFF2-40B4-BE49-F238E27FC236}">
                <a16:creationId xmlns:a16="http://schemas.microsoft.com/office/drawing/2014/main" id="{00000000-0008-0000-0200-000035180200}"/>
              </a:ext>
            </a:extLst>
          </xdr:cNvPr>
          <xdr:cNvSpPr/>
        </xdr:nvSpPr>
        <xdr:spPr>
          <a:xfrm>
            <a:off x="139700" y="482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70" name="QRD">
            <a:extLst>
              <a:ext uri="{FF2B5EF4-FFF2-40B4-BE49-F238E27FC236}">
                <a16:creationId xmlns:a16="http://schemas.microsoft.com/office/drawing/2014/main" id="{00000000-0008-0000-0200-000036180200}"/>
              </a:ext>
            </a:extLst>
          </xdr:cNvPr>
          <xdr:cNvSpPr/>
        </xdr:nvSpPr>
        <xdr:spPr>
          <a:xfrm>
            <a:off x="152400" y="482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71" name="QRD">
            <a:extLst>
              <a:ext uri="{FF2B5EF4-FFF2-40B4-BE49-F238E27FC236}">
                <a16:creationId xmlns:a16="http://schemas.microsoft.com/office/drawing/2014/main" id="{00000000-0008-0000-0200-000037180200}"/>
              </a:ext>
            </a:extLst>
          </xdr:cNvPr>
          <xdr:cNvSpPr/>
        </xdr:nvSpPr>
        <xdr:spPr>
          <a:xfrm>
            <a:off x="177800" y="482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72" name="QRD">
            <a:extLst>
              <a:ext uri="{FF2B5EF4-FFF2-40B4-BE49-F238E27FC236}">
                <a16:creationId xmlns:a16="http://schemas.microsoft.com/office/drawing/2014/main" id="{00000000-0008-0000-0200-000038180200}"/>
              </a:ext>
            </a:extLst>
          </xdr:cNvPr>
          <xdr:cNvSpPr/>
        </xdr:nvSpPr>
        <xdr:spPr>
          <a:xfrm>
            <a:off x="190500" y="482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73" name="QRD">
            <a:extLst>
              <a:ext uri="{FF2B5EF4-FFF2-40B4-BE49-F238E27FC236}">
                <a16:creationId xmlns:a16="http://schemas.microsoft.com/office/drawing/2014/main" id="{00000000-0008-0000-0200-000039180200}"/>
              </a:ext>
            </a:extLst>
          </xdr:cNvPr>
          <xdr:cNvSpPr/>
        </xdr:nvSpPr>
        <xdr:spPr>
          <a:xfrm>
            <a:off x="215900" y="482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74" name="QRD">
            <a:extLst>
              <a:ext uri="{FF2B5EF4-FFF2-40B4-BE49-F238E27FC236}">
                <a16:creationId xmlns:a16="http://schemas.microsoft.com/office/drawing/2014/main" id="{00000000-0008-0000-0200-00003A180200}"/>
              </a:ext>
            </a:extLst>
          </xdr:cNvPr>
          <xdr:cNvSpPr/>
        </xdr:nvSpPr>
        <xdr:spPr>
          <a:xfrm>
            <a:off x="279400" y="482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75" name="QRD">
            <a:extLst>
              <a:ext uri="{FF2B5EF4-FFF2-40B4-BE49-F238E27FC236}">
                <a16:creationId xmlns:a16="http://schemas.microsoft.com/office/drawing/2014/main" id="{00000000-0008-0000-0200-00003B180200}"/>
              </a:ext>
            </a:extLst>
          </xdr:cNvPr>
          <xdr:cNvSpPr/>
        </xdr:nvSpPr>
        <xdr:spPr>
          <a:xfrm>
            <a:off x="292100" y="482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76" name="QRD">
            <a:extLst>
              <a:ext uri="{FF2B5EF4-FFF2-40B4-BE49-F238E27FC236}">
                <a16:creationId xmlns:a16="http://schemas.microsoft.com/office/drawing/2014/main" id="{00000000-0008-0000-0200-00003C180200}"/>
              </a:ext>
            </a:extLst>
          </xdr:cNvPr>
          <xdr:cNvSpPr/>
        </xdr:nvSpPr>
        <xdr:spPr>
          <a:xfrm>
            <a:off x="304800" y="482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77" name="QRD">
            <a:extLst>
              <a:ext uri="{FF2B5EF4-FFF2-40B4-BE49-F238E27FC236}">
                <a16:creationId xmlns:a16="http://schemas.microsoft.com/office/drawing/2014/main" id="{00000000-0008-0000-0200-00003D180200}"/>
              </a:ext>
            </a:extLst>
          </xdr:cNvPr>
          <xdr:cNvSpPr/>
        </xdr:nvSpPr>
        <xdr:spPr>
          <a:xfrm>
            <a:off x="342900" y="482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78" name="QRD">
            <a:extLst>
              <a:ext uri="{FF2B5EF4-FFF2-40B4-BE49-F238E27FC236}">
                <a16:creationId xmlns:a16="http://schemas.microsoft.com/office/drawing/2014/main" id="{00000000-0008-0000-0200-00003E180200}"/>
              </a:ext>
            </a:extLst>
          </xdr:cNvPr>
          <xdr:cNvSpPr/>
        </xdr:nvSpPr>
        <xdr:spPr>
          <a:xfrm>
            <a:off x="381000" y="482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79" name="QRD">
            <a:extLst>
              <a:ext uri="{FF2B5EF4-FFF2-40B4-BE49-F238E27FC236}">
                <a16:creationId xmlns:a16="http://schemas.microsoft.com/office/drawing/2014/main" id="{00000000-0008-0000-0200-00003F180200}"/>
              </a:ext>
            </a:extLst>
          </xdr:cNvPr>
          <xdr:cNvSpPr/>
        </xdr:nvSpPr>
        <xdr:spPr>
          <a:xfrm>
            <a:off x="393700" y="482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80" name="QRD">
            <a:extLst>
              <a:ext uri="{FF2B5EF4-FFF2-40B4-BE49-F238E27FC236}">
                <a16:creationId xmlns:a16="http://schemas.microsoft.com/office/drawing/2014/main" id="{00000000-0008-0000-0200-000040180200}"/>
              </a:ext>
            </a:extLst>
          </xdr:cNvPr>
          <xdr:cNvSpPr/>
        </xdr:nvSpPr>
        <xdr:spPr>
          <a:xfrm>
            <a:off x="444500" y="482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81" name="QRD">
            <a:extLst>
              <a:ext uri="{FF2B5EF4-FFF2-40B4-BE49-F238E27FC236}">
                <a16:creationId xmlns:a16="http://schemas.microsoft.com/office/drawing/2014/main" id="{00000000-0008-0000-0200-000041180200}"/>
              </a:ext>
            </a:extLst>
          </xdr:cNvPr>
          <xdr:cNvSpPr/>
        </xdr:nvSpPr>
        <xdr:spPr>
          <a:xfrm>
            <a:off x="482600" y="482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82" name="QRD">
            <a:extLst>
              <a:ext uri="{FF2B5EF4-FFF2-40B4-BE49-F238E27FC236}">
                <a16:creationId xmlns:a16="http://schemas.microsoft.com/office/drawing/2014/main" id="{00000000-0008-0000-0200-000042180200}"/>
              </a:ext>
            </a:extLst>
          </xdr:cNvPr>
          <xdr:cNvSpPr/>
        </xdr:nvSpPr>
        <xdr:spPr>
          <a:xfrm>
            <a:off x="508000" y="482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83" name="QRD">
            <a:extLst>
              <a:ext uri="{FF2B5EF4-FFF2-40B4-BE49-F238E27FC236}">
                <a16:creationId xmlns:a16="http://schemas.microsoft.com/office/drawing/2014/main" id="{00000000-0008-0000-0200-000043180200}"/>
              </a:ext>
            </a:extLst>
          </xdr:cNvPr>
          <xdr:cNvSpPr/>
        </xdr:nvSpPr>
        <xdr:spPr>
          <a:xfrm>
            <a:off x="0" y="495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84" name="QRD">
            <a:extLst>
              <a:ext uri="{FF2B5EF4-FFF2-40B4-BE49-F238E27FC236}">
                <a16:creationId xmlns:a16="http://schemas.microsoft.com/office/drawing/2014/main" id="{00000000-0008-0000-0200-000044180200}"/>
              </a:ext>
            </a:extLst>
          </xdr:cNvPr>
          <xdr:cNvSpPr/>
        </xdr:nvSpPr>
        <xdr:spPr>
          <a:xfrm>
            <a:off x="76200" y="495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85" name="QRD">
            <a:extLst>
              <a:ext uri="{FF2B5EF4-FFF2-40B4-BE49-F238E27FC236}">
                <a16:creationId xmlns:a16="http://schemas.microsoft.com/office/drawing/2014/main" id="{00000000-0008-0000-0200-000045180200}"/>
              </a:ext>
            </a:extLst>
          </xdr:cNvPr>
          <xdr:cNvSpPr/>
        </xdr:nvSpPr>
        <xdr:spPr>
          <a:xfrm>
            <a:off x="101600" y="495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86" name="QRD">
            <a:extLst>
              <a:ext uri="{FF2B5EF4-FFF2-40B4-BE49-F238E27FC236}">
                <a16:creationId xmlns:a16="http://schemas.microsoft.com/office/drawing/2014/main" id="{00000000-0008-0000-0200-000046180200}"/>
              </a:ext>
            </a:extLst>
          </xdr:cNvPr>
          <xdr:cNvSpPr/>
        </xdr:nvSpPr>
        <xdr:spPr>
          <a:xfrm>
            <a:off x="114300" y="495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87" name="QRD">
            <a:extLst>
              <a:ext uri="{FF2B5EF4-FFF2-40B4-BE49-F238E27FC236}">
                <a16:creationId xmlns:a16="http://schemas.microsoft.com/office/drawing/2014/main" id="{00000000-0008-0000-0200-000047180200}"/>
              </a:ext>
            </a:extLst>
          </xdr:cNvPr>
          <xdr:cNvSpPr/>
        </xdr:nvSpPr>
        <xdr:spPr>
          <a:xfrm>
            <a:off x="139700" y="495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88" name="QRD">
            <a:extLst>
              <a:ext uri="{FF2B5EF4-FFF2-40B4-BE49-F238E27FC236}">
                <a16:creationId xmlns:a16="http://schemas.microsoft.com/office/drawing/2014/main" id="{00000000-0008-0000-0200-000048180200}"/>
              </a:ext>
            </a:extLst>
          </xdr:cNvPr>
          <xdr:cNvSpPr/>
        </xdr:nvSpPr>
        <xdr:spPr>
          <a:xfrm>
            <a:off x="190500" y="495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89" name="QRD">
            <a:extLst>
              <a:ext uri="{FF2B5EF4-FFF2-40B4-BE49-F238E27FC236}">
                <a16:creationId xmlns:a16="http://schemas.microsoft.com/office/drawing/2014/main" id="{00000000-0008-0000-0200-000049180200}"/>
              </a:ext>
            </a:extLst>
          </xdr:cNvPr>
          <xdr:cNvSpPr/>
        </xdr:nvSpPr>
        <xdr:spPr>
          <a:xfrm>
            <a:off x="203200" y="495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90" name="QRD">
            <a:extLst>
              <a:ext uri="{FF2B5EF4-FFF2-40B4-BE49-F238E27FC236}">
                <a16:creationId xmlns:a16="http://schemas.microsoft.com/office/drawing/2014/main" id="{00000000-0008-0000-0200-00004A180200}"/>
              </a:ext>
            </a:extLst>
          </xdr:cNvPr>
          <xdr:cNvSpPr/>
        </xdr:nvSpPr>
        <xdr:spPr>
          <a:xfrm>
            <a:off x="215900" y="495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91" name="QRD">
            <a:extLst>
              <a:ext uri="{FF2B5EF4-FFF2-40B4-BE49-F238E27FC236}">
                <a16:creationId xmlns:a16="http://schemas.microsoft.com/office/drawing/2014/main" id="{00000000-0008-0000-0200-00004B180200}"/>
              </a:ext>
            </a:extLst>
          </xdr:cNvPr>
          <xdr:cNvSpPr/>
        </xdr:nvSpPr>
        <xdr:spPr>
          <a:xfrm>
            <a:off x="228600" y="495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92" name="QRD">
            <a:extLst>
              <a:ext uri="{FF2B5EF4-FFF2-40B4-BE49-F238E27FC236}">
                <a16:creationId xmlns:a16="http://schemas.microsoft.com/office/drawing/2014/main" id="{00000000-0008-0000-0200-00004C180200}"/>
              </a:ext>
            </a:extLst>
          </xdr:cNvPr>
          <xdr:cNvSpPr/>
        </xdr:nvSpPr>
        <xdr:spPr>
          <a:xfrm>
            <a:off x="266700" y="495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93" name="QRD">
            <a:extLst>
              <a:ext uri="{FF2B5EF4-FFF2-40B4-BE49-F238E27FC236}">
                <a16:creationId xmlns:a16="http://schemas.microsoft.com/office/drawing/2014/main" id="{00000000-0008-0000-0200-00004D180200}"/>
              </a:ext>
            </a:extLst>
          </xdr:cNvPr>
          <xdr:cNvSpPr/>
        </xdr:nvSpPr>
        <xdr:spPr>
          <a:xfrm>
            <a:off x="279400" y="495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94" name="QRD">
            <a:extLst>
              <a:ext uri="{FF2B5EF4-FFF2-40B4-BE49-F238E27FC236}">
                <a16:creationId xmlns:a16="http://schemas.microsoft.com/office/drawing/2014/main" id="{00000000-0008-0000-0200-00004E180200}"/>
              </a:ext>
            </a:extLst>
          </xdr:cNvPr>
          <xdr:cNvSpPr/>
        </xdr:nvSpPr>
        <xdr:spPr>
          <a:xfrm>
            <a:off x="292100" y="495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95" name="QRD">
            <a:extLst>
              <a:ext uri="{FF2B5EF4-FFF2-40B4-BE49-F238E27FC236}">
                <a16:creationId xmlns:a16="http://schemas.microsoft.com/office/drawing/2014/main" id="{00000000-0008-0000-0200-00004F180200}"/>
              </a:ext>
            </a:extLst>
          </xdr:cNvPr>
          <xdr:cNvSpPr/>
        </xdr:nvSpPr>
        <xdr:spPr>
          <a:xfrm>
            <a:off x="330200" y="495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96" name="QRD">
            <a:extLst>
              <a:ext uri="{FF2B5EF4-FFF2-40B4-BE49-F238E27FC236}">
                <a16:creationId xmlns:a16="http://schemas.microsoft.com/office/drawing/2014/main" id="{00000000-0008-0000-0200-000050180200}"/>
              </a:ext>
            </a:extLst>
          </xdr:cNvPr>
          <xdr:cNvSpPr/>
        </xdr:nvSpPr>
        <xdr:spPr>
          <a:xfrm>
            <a:off x="368300" y="495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97" name="QRD">
            <a:extLst>
              <a:ext uri="{FF2B5EF4-FFF2-40B4-BE49-F238E27FC236}">
                <a16:creationId xmlns:a16="http://schemas.microsoft.com/office/drawing/2014/main" id="{00000000-0008-0000-0200-000051180200}"/>
              </a:ext>
            </a:extLst>
          </xdr:cNvPr>
          <xdr:cNvSpPr/>
        </xdr:nvSpPr>
        <xdr:spPr>
          <a:xfrm>
            <a:off x="393700" y="495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98" name="QRD">
            <a:extLst>
              <a:ext uri="{FF2B5EF4-FFF2-40B4-BE49-F238E27FC236}">
                <a16:creationId xmlns:a16="http://schemas.microsoft.com/office/drawing/2014/main" id="{00000000-0008-0000-0200-000052180200}"/>
              </a:ext>
            </a:extLst>
          </xdr:cNvPr>
          <xdr:cNvSpPr/>
        </xdr:nvSpPr>
        <xdr:spPr>
          <a:xfrm>
            <a:off x="419100" y="495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99" name="QRD">
            <a:extLst>
              <a:ext uri="{FF2B5EF4-FFF2-40B4-BE49-F238E27FC236}">
                <a16:creationId xmlns:a16="http://schemas.microsoft.com/office/drawing/2014/main" id="{00000000-0008-0000-0200-000053180200}"/>
              </a:ext>
            </a:extLst>
          </xdr:cNvPr>
          <xdr:cNvSpPr/>
        </xdr:nvSpPr>
        <xdr:spPr>
          <a:xfrm>
            <a:off x="431800" y="495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300" name="QRD">
            <a:extLst>
              <a:ext uri="{FF2B5EF4-FFF2-40B4-BE49-F238E27FC236}">
                <a16:creationId xmlns:a16="http://schemas.microsoft.com/office/drawing/2014/main" id="{00000000-0008-0000-0200-000054180200}"/>
              </a:ext>
            </a:extLst>
          </xdr:cNvPr>
          <xdr:cNvSpPr/>
        </xdr:nvSpPr>
        <xdr:spPr>
          <a:xfrm>
            <a:off x="444500" y="495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301" name="QRD">
            <a:extLst>
              <a:ext uri="{FF2B5EF4-FFF2-40B4-BE49-F238E27FC236}">
                <a16:creationId xmlns:a16="http://schemas.microsoft.com/office/drawing/2014/main" id="{00000000-0008-0000-0200-000055180200}"/>
              </a:ext>
            </a:extLst>
          </xdr:cNvPr>
          <xdr:cNvSpPr/>
        </xdr:nvSpPr>
        <xdr:spPr>
          <a:xfrm>
            <a:off x="469900" y="495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302" name="QRD">
            <a:extLst>
              <a:ext uri="{FF2B5EF4-FFF2-40B4-BE49-F238E27FC236}">
                <a16:creationId xmlns:a16="http://schemas.microsoft.com/office/drawing/2014/main" id="{00000000-0008-0000-0200-000056180200}"/>
              </a:ext>
            </a:extLst>
          </xdr:cNvPr>
          <xdr:cNvSpPr/>
        </xdr:nvSpPr>
        <xdr:spPr>
          <a:xfrm>
            <a:off x="495300" y="495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303" name="QRD">
            <a:extLst>
              <a:ext uri="{FF2B5EF4-FFF2-40B4-BE49-F238E27FC236}">
                <a16:creationId xmlns:a16="http://schemas.microsoft.com/office/drawing/2014/main" id="{00000000-0008-0000-0200-000057180200}"/>
              </a:ext>
            </a:extLst>
          </xdr:cNvPr>
          <xdr:cNvSpPr/>
        </xdr:nvSpPr>
        <xdr:spPr>
          <a:xfrm>
            <a:off x="508000" y="495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304" name="QRD">
            <a:extLst>
              <a:ext uri="{FF2B5EF4-FFF2-40B4-BE49-F238E27FC236}">
                <a16:creationId xmlns:a16="http://schemas.microsoft.com/office/drawing/2014/main" id="{00000000-0008-0000-0200-000058180200}"/>
              </a:ext>
            </a:extLst>
          </xdr:cNvPr>
          <xdr:cNvSpPr/>
        </xdr:nvSpPr>
        <xdr:spPr>
          <a:xfrm>
            <a:off x="0" y="508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305" name="QRD">
            <a:extLst>
              <a:ext uri="{FF2B5EF4-FFF2-40B4-BE49-F238E27FC236}">
                <a16:creationId xmlns:a16="http://schemas.microsoft.com/office/drawing/2014/main" id="{00000000-0008-0000-0200-000059180200}"/>
              </a:ext>
            </a:extLst>
          </xdr:cNvPr>
          <xdr:cNvSpPr/>
        </xdr:nvSpPr>
        <xdr:spPr>
          <a:xfrm>
            <a:off x="12700" y="508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306" name="QRD">
            <a:extLst>
              <a:ext uri="{FF2B5EF4-FFF2-40B4-BE49-F238E27FC236}">
                <a16:creationId xmlns:a16="http://schemas.microsoft.com/office/drawing/2014/main" id="{00000000-0008-0000-0200-00005A180200}"/>
              </a:ext>
            </a:extLst>
          </xdr:cNvPr>
          <xdr:cNvSpPr/>
        </xdr:nvSpPr>
        <xdr:spPr>
          <a:xfrm>
            <a:off x="25400" y="508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307" name="QRD">
            <a:extLst>
              <a:ext uri="{FF2B5EF4-FFF2-40B4-BE49-F238E27FC236}">
                <a16:creationId xmlns:a16="http://schemas.microsoft.com/office/drawing/2014/main" id="{00000000-0008-0000-0200-00005B180200}"/>
              </a:ext>
            </a:extLst>
          </xdr:cNvPr>
          <xdr:cNvSpPr/>
        </xdr:nvSpPr>
        <xdr:spPr>
          <a:xfrm>
            <a:off x="38100" y="508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308" name="QRD">
            <a:extLst>
              <a:ext uri="{FF2B5EF4-FFF2-40B4-BE49-F238E27FC236}">
                <a16:creationId xmlns:a16="http://schemas.microsoft.com/office/drawing/2014/main" id="{00000000-0008-0000-0200-00005C180200}"/>
              </a:ext>
            </a:extLst>
          </xdr:cNvPr>
          <xdr:cNvSpPr/>
        </xdr:nvSpPr>
        <xdr:spPr>
          <a:xfrm>
            <a:off x="50800" y="508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309" name="QRD">
            <a:extLst>
              <a:ext uri="{FF2B5EF4-FFF2-40B4-BE49-F238E27FC236}">
                <a16:creationId xmlns:a16="http://schemas.microsoft.com/office/drawing/2014/main" id="{00000000-0008-0000-0200-00005D180200}"/>
              </a:ext>
            </a:extLst>
          </xdr:cNvPr>
          <xdr:cNvSpPr/>
        </xdr:nvSpPr>
        <xdr:spPr>
          <a:xfrm>
            <a:off x="63500" y="508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310" name="QRD">
            <a:extLst>
              <a:ext uri="{FF2B5EF4-FFF2-40B4-BE49-F238E27FC236}">
                <a16:creationId xmlns:a16="http://schemas.microsoft.com/office/drawing/2014/main" id="{00000000-0008-0000-0200-00005E180200}"/>
              </a:ext>
            </a:extLst>
          </xdr:cNvPr>
          <xdr:cNvSpPr/>
        </xdr:nvSpPr>
        <xdr:spPr>
          <a:xfrm>
            <a:off x="76200" y="508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311" name="QRD">
            <a:extLst>
              <a:ext uri="{FF2B5EF4-FFF2-40B4-BE49-F238E27FC236}">
                <a16:creationId xmlns:a16="http://schemas.microsoft.com/office/drawing/2014/main" id="{00000000-0008-0000-0200-00005F180200}"/>
              </a:ext>
            </a:extLst>
          </xdr:cNvPr>
          <xdr:cNvSpPr/>
        </xdr:nvSpPr>
        <xdr:spPr>
          <a:xfrm>
            <a:off x="101600" y="508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312" name="QRD">
            <a:extLst>
              <a:ext uri="{FF2B5EF4-FFF2-40B4-BE49-F238E27FC236}">
                <a16:creationId xmlns:a16="http://schemas.microsoft.com/office/drawing/2014/main" id="{00000000-0008-0000-0200-000060180200}"/>
              </a:ext>
            </a:extLst>
          </xdr:cNvPr>
          <xdr:cNvSpPr/>
        </xdr:nvSpPr>
        <xdr:spPr>
          <a:xfrm>
            <a:off x="127000" y="508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313" name="QRD">
            <a:extLst>
              <a:ext uri="{FF2B5EF4-FFF2-40B4-BE49-F238E27FC236}">
                <a16:creationId xmlns:a16="http://schemas.microsoft.com/office/drawing/2014/main" id="{00000000-0008-0000-0200-000061180200}"/>
              </a:ext>
            </a:extLst>
          </xdr:cNvPr>
          <xdr:cNvSpPr/>
        </xdr:nvSpPr>
        <xdr:spPr>
          <a:xfrm>
            <a:off x="177800" y="508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314" name="QRD">
            <a:extLst>
              <a:ext uri="{FF2B5EF4-FFF2-40B4-BE49-F238E27FC236}">
                <a16:creationId xmlns:a16="http://schemas.microsoft.com/office/drawing/2014/main" id="{00000000-0008-0000-0200-000062180200}"/>
              </a:ext>
            </a:extLst>
          </xdr:cNvPr>
          <xdr:cNvSpPr/>
        </xdr:nvSpPr>
        <xdr:spPr>
          <a:xfrm>
            <a:off x="190500" y="508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315" name="QRD">
            <a:extLst>
              <a:ext uri="{FF2B5EF4-FFF2-40B4-BE49-F238E27FC236}">
                <a16:creationId xmlns:a16="http://schemas.microsoft.com/office/drawing/2014/main" id="{00000000-0008-0000-0200-000063180200}"/>
              </a:ext>
            </a:extLst>
          </xdr:cNvPr>
          <xdr:cNvSpPr/>
        </xdr:nvSpPr>
        <xdr:spPr>
          <a:xfrm>
            <a:off x="203200" y="508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316" name="QRD">
            <a:extLst>
              <a:ext uri="{FF2B5EF4-FFF2-40B4-BE49-F238E27FC236}">
                <a16:creationId xmlns:a16="http://schemas.microsoft.com/office/drawing/2014/main" id="{00000000-0008-0000-0200-000064180200}"/>
              </a:ext>
            </a:extLst>
          </xdr:cNvPr>
          <xdr:cNvSpPr/>
        </xdr:nvSpPr>
        <xdr:spPr>
          <a:xfrm>
            <a:off x="215900" y="508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317" name="QRD">
            <a:extLst>
              <a:ext uri="{FF2B5EF4-FFF2-40B4-BE49-F238E27FC236}">
                <a16:creationId xmlns:a16="http://schemas.microsoft.com/office/drawing/2014/main" id="{00000000-0008-0000-0200-000065180200}"/>
              </a:ext>
            </a:extLst>
          </xdr:cNvPr>
          <xdr:cNvSpPr/>
        </xdr:nvSpPr>
        <xdr:spPr>
          <a:xfrm>
            <a:off x="228600" y="508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318" name="QRD">
            <a:extLst>
              <a:ext uri="{FF2B5EF4-FFF2-40B4-BE49-F238E27FC236}">
                <a16:creationId xmlns:a16="http://schemas.microsoft.com/office/drawing/2014/main" id="{00000000-0008-0000-0200-000066180200}"/>
              </a:ext>
            </a:extLst>
          </xdr:cNvPr>
          <xdr:cNvSpPr/>
        </xdr:nvSpPr>
        <xdr:spPr>
          <a:xfrm>
            <a:off x="266700" y="508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319" name="QRD">
            <a:extLst>
              <a:ext uri="{FF2B5EF4-FFF2-40B4-BE49-F238E27FC236}">
                <a16:creationId xmlns:a16="http://schemas.microsoft.com/office/drawing/2014/main" id="{00000000-0008-0000-0200-000067180200}"/>
              </a:ext>
            </a:extLst>
          </xdr:cNvPr>
          <xdr:cNvSpPr/>
        </xdr:nvSpPr>
        <xdr:spPr>
          <a:xfrm>
            <a:off x="330200" y="508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320" name="QRD">
            <a:extLst>
              <a:ext uri="{FF2B5EF4-FFF2-40B4-BE49-F238E27FC236}">
                <a16:creationId xmlns:a16="http://schemas.microsoft.com/office/drawing/2014/main" id="{00000000-0008-0000-0200-000068180200}"/>
              </a:ext>
            </a:extLst>
          </xdr:cNvPr>
          <xdr:cNvSpPr/>
        </xdr:nvSpPr>
        <xdr:spPr>
          <a:xfrm>
            <a:off x="342900" y="508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321" name="QRD">
            <a:extLst>
              <a:ext uri="{FF2B5EF4-FFF2-40B4-BE49-F238E27FC236}">
                <a16:creationId xmlns:a16="http://schemas.microsoft.com/office/drawing/2014/main" id="{00000000-0008-0000-0200-000069180200}"/>
              </a:ext>
            </a:extLst>
          </xdr:cNvPr>
          <xdr:cNvSpPr/>
        </xdr:nvSpPr>
        <xdr:spPr>
          <a:xfrm>
            <a:off x="355600" y="508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322" name="QRD">
            <a:extLst>
              <a:ext uri="{FF2B5EF4-FFF2-40B4-BE49-F238E27FC236}">
                <a16:creationId xmlns:a16="http://schemas.microsoft.com/office/drawing/2014/main" id="{00000000-0008-0000-0200-00006A180200}"/>
              </a:ext>
            </a:extLst>
          </xdr:cNvPr>
          <xdr:cNvSpPr/>
        </xdr:nvSpPr>
        <xdr:spPr>
          <a:xfrm>
            <a:off x="406400" y="508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323" name="QRD">
            <a:extLst>
              <a:ext uri="{FF2B5EF4-FFF2-40B4-BE49-F238E27FC236}">
                <a16:creationId xmlns:a16="http://schemas.microsoft.com/office/drawing/2014/main" id="{00000000-0008-0000-0200-00006B180200}"/>
              </a:ext>
            </a:extLst>
          </xdr:cNvPr>
          <xdr:cNvSpPr/>
        </xdr:nvSpPr>
        <xdr:spPr>
          <a:xfrm>
            <a:off x="419100" y="508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324" name="QRD">
            <a:extLst>
              <a:ext uri="{FF2B5EF4-FFF2-40B4-BE49-F238E27FC236}">
                <a16:creationId xmlns:a16="http://schemas.microsoft.com/office/drawing/2014/main" id="{00000000-0008-0000-0200-00006C180200}"/>
              </a:ext>
            </a:extLst>
          </xdr:cNvPr>
          <xdr:cNvSpPr/>
        </xdr:nvSpPr>
        <xdr:spPr>
          <a:xfrm>
            <a:off x="457200" y="508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325" name="QRD">
            <a:extLst>
              <a:ext uri="{FF2B5EF4-FFF2-40B4-BE49-F238E27FC236}">
                <a16:creationId xmlns:a16="http://schemas.microsoft.com/office/drawing/2014/main" id="{00000000-0008-0000-0200-00006D180200}"/>
              </a:ext>
            </a:extLst>
          </xdr:cNvPr>
          <xdr:cNvSpPr/>
        </xdr:nvSpPr>
        <xdr:spPr>
          <a:xfrm>
            <a:off x="482600" y="508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326" name="QRD">
            <a:extLst>
              <a:ext uri="{FF2B5EF4-FFF2-40B4-BE49-F238E27FC236}">
                <a16:creationId xmlns:a16="http://schemas.microsoft.com/office/drawing/2014/main" id="{00000000-0008-0000-0200-00006E180200}"/>
              </a:ext>
            </a:extLst>
          </xdr:cNvPr>
          <xdr:cNvSpPr/>
        </xdr:nvSpPr>
        <xdr:spPr>
          <a:xfrm>
            <a:off x="495300" y="508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 editAs="oneCell">
    <xdr:from>
      <xdr:col>13</xdr:col>
      <xdr:colOff>331014</xdr:colOff>
      <xdr:row>2</xdr:row>
      <xdr:rowOff>145276</xdr:rowOff>
    </xdr:from>
    <xdr:to>
      <xdr:col>22</xdr:col>
      <xdr:colOff>278586</xdr:colOff>
      <xdr:row>31</xdr:row>
      <xdr:rowOff>54748</xdr:rowOff>
    </xdr:to>
    <xdr:grpSp>
      <xdr:nvGrpSpPr>
        <xdr:cNvPr id="141653" name="QRE" descr="QuickResponse barcode, level M, version 5, mode alpha, 37x37 cells" title="00020101021126380009SG.PAYNOW010100211+6582014380030115303702540510.205802SG5916PAYNOW MOBILE QR6009SINGAPORE63040B0F">
          <a:extLst>
            <a:ext uri="{FF2B5EF4-FFF2-40B4-BE49-F238E27FC236}">
              <a16:creationId xmlns:a16="http://schemas.microsoft.com/office/drawing/2014/main" id="{00000000-0008-0000-0200-000055290200}"/>
            </a:ext>
          </a:extLst>
        </xdr:cNvPr>
        <xdr:cNvGrpSpPr>
          <a:grpSpLocks noChangeAspect="1"/>
        </xdr:cNvGrpSpPr>
      </xdr:nvGrpSpPr>
      <xdr:grpSpPr>
        <a:xfrm>
          <a:off x="8255814" y="535801"/>
          <a:ext cx="5433972" cy="5433972"/>
          <a:chOff x="0" y="0"/>
          <a:chExt cx="469900" cy="469900"/>
        </a:xfrm>
      </xdr:grpSpPr>
      <xdr:sp macro="" textlink="">
        <xdr:nvSpPr>
          <xdr:cNvPr id="140967" name="QRE">
            <a:extLst>
              <a:ext uri="{FF2B5EF4-FFF2-40B4-BE49-F238E27FC236}">
                <a16:creationId xmlns:a16="http://schemas.microsoft.com/office/drawing/2014/main" id="{00000000-0008-0000-0200-0000A726020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0968" name="QRE">
            <a:extLst>
              <a:ext uri="{FF2B5EF4-FFF2-40B4-BE49-F238E27FC236}">
                <a16:creationId xmlns:a16="http://schemas.microsoft.com/office/drawing/2014/main" id="{00000000-0008-0000-0200-0000A8260200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0969" name="QRE">
            <a:extLst>
              <a:ext uri="{FF2B5EF4-FFF2-40B4-BE49-F238E27FC236}">
                <a16:creationId xmlns:a16="http://schemas.microsoft.com/office/drawing/2014/main" id="{00000000-0008-0000-0200-0000A926020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0970" name="QRE">
            <a:extLst>
              <a:ext uri="{FF2B5EF4-FFF2-40B4-BE49-F238E27FC236}">
                <a16:creationId xmlns:a16="http://schemas.microsoft.com/office/drawing/2014/main" id="{00000000-0008-0000-0200-0000AA260200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0971" name="QRE">
            <a:extLst>
              <a:ext uri="{FF2B5EF4-FFF2-40B4-BE49-F238E27FC236}">
                <a16:creationId xmlns:a16="http://schemas.microsoft.com/office/drawing/2014/main" id="{00000000-0008-0000-0200-0000AB260200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0972" name="QRE">
            <a:extLst>
              <a:ext uri="{FF2B5EF4-FFF2-40B4-BE49-F238E27FC236}">
                <a16:creationId xmlns:a16="http://schemas.microsoft.com/office/drawing/2014/main" id="{00000000-0008-0000-0200-0000AC26020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0973" name="QRE">
            <a:extLst>
              <a:ext uri="{FF2B5EF4-FFF2-40B4-BE49-F238E27FC236}">
                <a16:creationId xmlns:a16="http://schemas.microsoft.com/office/drawing/2014/main" id="{00000000-0008-0000-0200-0000AD26020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0974" name="QRE">
            <a:extLst>
              <a:ext uri="{FF2B5EF4-FFF2-40B4-BE49-F238E27FC236}">
                <a16:creationId xmlns:a16="http://schemas.microsoft.com/office/drawing/2014/main" id="{00000000-0008-0000-0200-0000AE260200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0975" name="QRE">
            <a:extLst>
              <a:ext uri="{FF2B5EF4-FFF2-40B4-BE49-F238E27FC236}">
                <a16:creationId xmlns:a16="http://schemas.microsoft.com/office/drawing/2014/main" id="{00000000-0008-0000-0200-0000AF260200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0976" name="QRE">
            <a:extLst>
              <a:ext uri="{FF2B5EF4-FFF2-40B4-BE49-F238E27FC236}">
                <a16:creationId xmlns:a16="http://schemas.microsoft.com/office/drawing/2014/main" id="{00000000-0008-0000-0200-0000B0260200}"/>
              </a:ext>
            </a:extLst>
          </xdr:cNvPr>
          <xdr:cNvSpPr/>
        </xdr:nvSpPr>
        <xdr:spPr>
          <a:xfrm>
            <a:off x="228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0977" name="QRE">
            <a:extLst>
              <a:ext uri="{FF2B5EF4-FFF2-40B4-BE49-F238E27FC236}">
                <a16:creationId xmlns:a16="http://schemas.microsoft.com/office/drawing/2014/main" id="{00000000-0008-0000-0200-0000B1260200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0978" name="QRE">
            <a:extLst>
              <a:ext uri="{FF2B5EF4-FFF2-40B4-BE49-F238E27FC236}">
                <a16:creationId xmlns:a16="http://schemas.microsoft.com/office/drawing/2014/main" id="{00000000-0008-0000-0200-0000B2260200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0979" name="QRE">
            <a:extLst>
              <a:ext uri="{FF2B5EF4-FFF2-40B4-BE49-F238E27FC236}">
                <a16:creationId xmlns:a16="http://schemas.microsoft.com/office/drawing/2014/main" id="{00000000-0008-0000-0200-0000B3260200}"/>
              </a:ext>
            </a:extLst>
          </xdr:cNvPr>
          <xdr:cNvSpPr/>
        </xdr:nvSpPr>
        <xdr:spPr>
          <a:xfrm>
            <a:off x="317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0980" name="QRE">
            <a:extLst>
              <a:ext uri="{FF2B5EF4-FFF2-40B4-BE49-F238E27FC236}">
                <a16:creationId xmlns:a16="http://schemas.microsoft.com/office/drawing/2014/main" id="{00000000-0008-0000-0200-0000B4260200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0981" name="QRE">
            <a:extLst>
              <a:ext uri="{FF2B5EF4-FFF2-40B4-BE49-F238E27FC236}">
                <a16:creationId xmlns:a16="http://schemas.microsoft.com/office/drawing/2014/main" id="{00000000-0008-0000-0200-0000B5260200}"/>
              </a:ext>
            </a:extLst>
          </xdr:cNvPr>
          <xdr:cNvSpPr/>
        </xdr:nvSpPr>
        <xdr:spPr>
          <a:xfrm>
            <a:off x="381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0982" name="QRE">
            <a:extLst>
              <a:ext uri="{FF2B5EF4-FFF2-40B4-BE49-F238E27FC236}">
                <a16:creationId xmlns:a16="http://schemas.microsoft.com/office/drawing/2014/main" id="{00000000-0008-0000-0200-0000B6260200}"/>
              </a:ext>
            </a:extLst>
          </xdr:cNvPr>
          <xdr:cNvSpPr/>
        </xdr:nvSpPr>
        <xdr:spPr>
          <a:xfrm>
            <a:off x="393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0983" name="QRE">
            <a:extLst>
              <a:ext uri="{FF2B5EF4-FFF2-40B4-BE49-F238E27FC236}">
                <a16:creationId xmlns:a16="http://schemas.microsoft.com/office/drawing/2014/main" id="{00000000-0008-0000-0200-0000B7260200}"/>
              </a:ext>
            </a:extLst>
          </xdr:cNvPr>
          <xdr:cNvSpPr/>
        </xdr:nvSpPr>
        <xdr:spPr>
          <a:xfrm>
            <a:off x="406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0984" name="QRE">
            <a:extLst>
              <a:ext uri="{FF2B5EF4-FFF2-40B4-BE49-F238E27FC236}">
                <a16:creationId xmlns:a16="http://schemas.microsoft.com/office/drawing/2014/main" id="{00000000-0008-0000-0200-0000B8260200}"/>
              </a:ext>
            </a:extLst>
          </xdr:cNvPr>
          <xdr:cNvSpPr/>
        </xdr:nvSpPr>
        <xdr:spPr>
          <a:xfrm>
            <a:off x="419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0985" name="QRE">
            <a:extLst>
              <a:ext uri="{FF2B5EF4-FFF2-40B4-BE49-F238E27FC236}">
                <a16:creationId xmlns:a16="http://schemas.microsoft.com/office/drawing/2014/main" id="{00000000-0008-0000-0200-0000B9260200}"/>
              </a:ext>
            </a:extLst>
          </xdr:cNvPr>
          <xdr:cNvSpPr/>
        </xdr:nvSpPr>
        <xdr:spPr>
          <a:xfrm>
            <a:off x="431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0986" name="QRE">
            <a:extLst>
              <a:ext uri="{FF2B5EF4-FFF2-40B4-BE49-F238E27FC236}">
                <a16:creationId xmlns:a16="http://schemas.microsoft.com/office/drawing/2014/main" id="{00000000-0008-0000-0200-0000BA260200}"/>
              </a:ext>
            </a:extLst>
          </xdr:cNvPr>
          <xdr:cNvSpPr/>
        </xdr:nvSpPr>
        <xdr:spPr>
          <a:xfrm>
            <a:off x="444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0987" name="QRE">
            <a:extLst>
              <a:ext uri="{FF2B5EF4-FFF2-40B4-BE49-F238E27FC236}">
                <a16:creationId xmlns:a16="http://schemas.microsoft.com/office/drawing/2014/main" id="{00000000-0008-0000-0200-0000BB260200}"/>
              </a:ext>
            </a:extLst>
          </xdr:cNvPr>
          <xdr:cNvSpPr/>
        </xdr:nvSpPr>
        <xdr:spPr>
          <a:xfrm>
            <a:off x="457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0988" name="QRE">
            <a:extLst>
              <a:ext uri="{FF2B5EF4-FFF2-40B4-BE49-F238E27FC236}">
                <a16:creationId xmlns:a16="http://schemas.microsoft.com/office/drawing/2014/main" id="{00000000-0008-0000-0200-0000BC26020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0989" name="QRE">
            <a:extLst>
              <a:ext uri="{FF2B5EF4-FFF2-40B4-BE49-F238E27FC236}">
                <a16:creationId xmlns:a16="http://schemas.microsoft.com/office/drawing/2014/main" id="{00000000-0008-0000-0200-0000BD26020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0990" name="QRE">
            <a:extLst>
              <a:ext uri="{FF2B5EF4-FFF2-40B4-BE49-F238E27FC236}">
                <a16:creationId xmlns:a16="http://schemas.microsoft.com/office/drawing/2014/main" id="{00000000-0008-0000-0200-0000BE260200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0991" name="QRE">
            <a:extLst>
              <a:ext uri="{FF2B5EF4-FFF2-40B4-BE49-F238E27FC236}">
                <a16:creationId xmlns:a16="http://schemas.microsoft.com/office/drawing/2014/main" id="{00000000-0008-0000-0200-0000BF260200}"/>
              </a:ext>
            </a:extLst>
          </xdr:cNvPr>
          <xdr:cNvSpPr/>
        </xdr:nvSpPr>
        <xdr:spPr>
          <a:xfrm>
            <a:off x="1397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0992" name="QRE">
            <a:extLst>
              <a:ext uri="{FF2B5EF4-FFF2-40B4-BE49-F238E27FC236}">
                <a16:creationId xmlns:a16="http://schemas.microsoft.com/office/drawing/2014/main" id="{00000000-0008-0000-0200-0000C0260200}"/>
              </a:ext>
            </a:extLst>
          </xdr:cNvPr>
          <xdr:cNvSpPr/>
        </xdr:nvSpPr>
        <xdr:spPr>
          <a:xfrm>
            <a:off x="1651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0993" name="QRE">
            <a:extLst>
              <a:ext uri="{FF2B5EF4-FFF2-40B4-BE49-F238E27FC236}">
                <a16:creationId xmlns:a16="http://schemas.microsoft.com/office/drawing/2014/main" id="{00000000-0008-0000-0200-0000C1260200}"/>
              </a:ext>
            </a:extLst>
          </xdr:cNvPr>
          <xdr:cNvSpPr/>
        </xdr:nvSpPr>
        <xdr:spPr>
          <a:xfrm>
            <a:off x="1778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0994" name="QRE">
            <a:extLst>
              <a:ext uri="{FF2B5EF4-FFF2-40B4-BE49-F238E27FC236}">
                <a16:creationId xmlns:a16="http://schemas.microsoft.com/office/drawing/2014/main" id="{00000000-0008-0000-0200-0000C2260200}"/>
              </a:ext>
            </a:extLst>
          </xdr:cNvPr>
          <xdr:cNvSpPr/>
        </xdr:nvSpPr>
        <xdr:spPr>
          <a:xfrm>
            <a:off x="2159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0995" name="QRE">
            <a:extLst>
              <a:ext uri="{FF2B5EF4-FFF2-40B4-BE49-F238E27FC236}">
                <a16:creationId xmlns:a16="http://schemas.microsoft.com/office/drawing/2014/main" id="{00000000-0008-0000-0200-0000C3260200}"/>
              </a:ext>
            </a:extLst>
          </xdr:cNvPr>
          <xdr:cNvSpPr/>
        </xdr:nvSpPr>
        <xdr:spPr>
          <a:xfrm>
            <a:off x="2667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0996" name="QRE">
            <a:extLst>
              <a:ext uri="{FF2B5EF4-FFF2-40B4-BE49-F238E27FC236}">
                <a16:creationId xmlns:a16="http://schemas.microsoft.com/office/drawing/2014/main" id="{00000000-0008-0000-0200-0000C4260200}"/>
              </a:ext>
            </a:extLst>
          </xdr:cNvPr>
          <xdr:cNvSpPr/>
        </xdr:nvSpPr>
        <xdr:spPr>
          <a:xfrm>
            <a:off x="3175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0997" name="QRE">
            <a:extLst>
              <a:ext uri="{FF2B5EF4-FFF2-40B4-BE49-F238E27FC236}">
                <a16:creationId xmlns:a16="http://schemas.microsoft.com/office/drawing/2014/main" id="{00000000-0008-0000-0200-0000C5260200}"/>
              </a:ext>
            </a:extLst>
          </xdr:cNvPr>
          <xdr:cNvSpPr/>
        </xdr:nvSpPr>
        <xdr:spPr>
          <a:xfrm>
            <a:off x="3429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0998" name="QRE">
            <a:extLst>
              <a:ext uri="{FF2B5EF4-FFF2-40B4-BE49-F238E27FC236}">
                <a16:creationId xmlns:a16="http://schemas.microsoft.com/office/drawing/2014/main" id="{00000000-0008-0000-0200-0000C6260200}"/>
              </a:ext>
            </a:extLst>
          </xdr:cNvPr>
          <xdr:cNvSpPr/>
        </xdr:nvSpPr>
        <xdr:spPr>
          <a:xfrm>
            <a:off x="381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0999" name="QRE">
            <a:extLst>
              <a:ext uri="{FF2B5EF4-FFF2-40B4-BE49-F238E27FC236}">
                <a16:creationId xmlns:a16="http://schemas.microsoft.com/office/drawing/2014/main" id="{00000000-0008-0000-0200-0000C7260200}"/>
              </a:ext>
            </a:extLst>
          </xdr:cNvPr>
          <xdr:cNvSpPr/>
        </xdr:nvSpPr>
        <xdr:spPr>
          <a:xfrm>
            <a:off x="457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00" name="QRE">
            <a:extLst>
              <a:ext uri="{FF2B5EF4-FFF2-40B4-BE49-F238E27FC236}">
                <a16:creationId xmlns:a16="http://schemas.microsoft.com/office/drawing/2014/main" id="{00000000-0008-0000-0200-0000C8260200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01" name="QRE">
            <a:extLst>
              <a:ext uri="{FF2B5EF4-FFF2-40B4-BE49-F238E27FC236}">
                <a16:creationId xmlns:a16="http://schemas.microsoft.com/office/drawing/2014/main" id="{00000000-0008-0000-0200-0000C9260200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02" name="QRE">
            <a:extLst>
              <a:ext uri="{FF2B5EF4-FFF2-40B4-BE49-F238E27FC236}">
                <a16:creationId xmlns:a16="http://schemas.microsoft.com/office/drawing/2014/main" id="{00000000-0008-0000-0200-0000CA260200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03" name="QRE">
            <a:extLst>
              <a:ext uri="{FF2B5EF4-FFF2-40B4-BE49-F238E27FC236}">
                <a16:creationId xmlns:a16="http://schemas.microsoft.com/office/drawing/2014/main" id="{00000000-0008-0000-0200-0000CB260200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04" name="QRE">
            <a:extLst>
              <a:ext uri="{FF2B5EF4-FFF2-40B4-BE49-F238E27FC236}">
                <a16:creationId xmlns:a16="http://schemas.microsoft.com/office/drawing/2014/main" id="{00000000-0008-0000-0200-0000CC260200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05" name="QRE">
            <a:extLst>
              <a:ext uri="{FF2B5EF4-FFF2-40B4-BE49-F238E27FC236}">
                <a16:creationId xmlns:a16="http://schemas.microsoft.com/office/drawing/2014/main" id="{00000000-0008-0000-0200-0000CD260200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06" name="QRE">
            <a:extLst>
              <a:ext uri="{FF2B5EF4-FFF2-40B4-BE49-F238E27FC236}">
                <a16:creationId xmlns:a16="http://schemas.microsoft.com/office/drawing/2014/main" id="{00000000-0008-0000-0200-0000CE260200}"/>
              </a:ext>
            </a:extLst>
          </xdr:cNvPr>
          <xdr:cNvSpPr/>
        </xdr:nvSpPr>
        <xdr:spPr>
          <a:xfrm>
            <a:off x="127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07" name="QRE">
            <a:extLst>
              <a:ext uri="{FF2B5EF4-FFF2-40B4-BE49-F238E27FC236}">
                <a16:creationId xmlns:a16="http://schemas.microsoft.com/office/drawing/2014/main" id="{00000000-0008-0000-0200-0000CF260200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08" name="QRE">
            <a:extLst>
              <a:ext uri="{FF2B5EF4-FFF2-40B4-BE49-F238E27FC236}">
                <a16:creationId xmlns:a16="http://schemas.microsoft.com/office/drawing/2014/main" id="{00000000-0008-0000-0200-0000D0260200}"/>
              </a:ext>
            </a:extLst>
          </xdr:cNvPr>
          <xdr:cNvSpPr/>
        </xdr:nvSpPr>
        <xdr:spPr>
          <a:xfrm>
            <a:off x="203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09" name="QRE">
            <a:extLst>
              <a:ext uri="{FF2B5EF4-FFF2-40B4-BE49-F238E27FC236}">
                <a16:creationId xmlns:a16="http://schemas.microsoft.com/office/drawing/2014/main" id="{00000000-0008-0000-0200-0000D1260200}"/>
              </a:ext>
            </a:extLst>
          </xdr:cNvPr>
          <xdr:cNvSpPr/>
        </xdr:nvSpPr>
        <xdr:spPr>
          <a:xfrm>
            <a:off x="2159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10" name="QRE">
            <a:extLst>
              <a:ext uri="{FF2B5EF4-FFF2-40B4-BE49-F238E27FC236}">
                <a16:creationId xmlns:a16="http://schemas.microsoft.com/office/drawing/2014/main" id="{00000000-0008-0000-0200-0000D2260200}"/>
              </a:ext>
            </a:extLst>
          </xdr:cNvPr>
          <xdr:cNvSpPr/>
        </xdr:nvSpPr>
        <xdr:spPr>
          <a:xfrm>
            <a:off x="2286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11" name="QRE">
            <a:extLst>
              <a:ext uri="{FF2B5EF4-FFF2-40B4-BE49-F238E27FC236}">
                <a16:creationId xmlns:a16="http://schemas.microsoft.com/office/drawing/2014/main" id="{00000000-0008-0000-0200-0000D3260200}"/>
              </a:ext>
            </a:extLst>
          </xdr:cNvPr>
          <xdr:cNvSpPr/>
        </xdr:nvSpPr>
        <xdr:spPr>
          <a:xfrm>
            <a:off x="279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12" name="QRE">
            <a:extLst>
              <a:ext uri="{FF2B5EF4-FFF2-40B4-BE49-F238E27FC236}">
                <a16:creationId xmlns:a16="http://schemas.microsoft.com/office/drawing/2014/main" id="{00000000-0008-0000-0200-0000D4260200}"/>
              </a:ext>
            </a:extLst>
          </xdr:cNvPr>
          <xdr:cNvSpPr/>
        </xdr:nvSpPr>
        <xdr:spPr>
          <a:xfrm>
            <a:off x="292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13" name="QRE">
            <a:extLst>
              <a:ext uri="{FF2B5EF4-FFF2-40B4-BE49-F238E27FC236}">
                <a16:creationId xmlns:a16="http://schemas.microsoft.com/office/drawing/2014/main" id="{00000000-0008-0000-0200-0000D5260200}"/>
              </a:ext>
            </a:extLst>
          </xdr:cNvPr>
          <xdr:cNvSpPr/>
        </xdr:nvSpPr>
        <xdr:spPr>
          <a:xfrm>
            <a:off x="304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14" name="QRE">
            <a:extLst>
              <a:ext uri="{FF2B5EF4-FFF2-40B4-BE49-F238E27FC236}">
                <a16:creationId xmlns:a16="http://schemas.microsoft.com/office/drawing/2014/main" id="{00000000-0008-0000-0200-0000D6260200}"/>
              </a:ext>
            </a:extLst>
          </xdr:cNvPr>
          <xdr:cNvSpPr/>
        </xdr:nvSpPr>
        <xdr:spPr>
          <a:xfrm>
            <a:off x="3175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15" name="QRE">
            <a:extLst>
              <a:ext uri="{FF2B5EF4-FFF2-40B4-BE49-F238E27FC236}">
                <a16:creationId xmlns:a16="http://schemas.microsoft.com/office/drawing/2014/main" id="{00000000-0008-0000-0200-0000D7260200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16" name="QRE">
            <a:extLst>
              <a:ext uri="{FF2B5EF4-FFF2-40B4-BE49-F238E27FC236}">
                <a16:creationId xmlns:a16="http://schemas.microsoft.com/office/drawing/2014/main" id="{00000000-0008-0000-0200-0000D8260200}"/>
              </a:ext>
            </a:extLst>
          </xdr:cNvPr>
          <xdr:cNvSpPr/>
        </xdr:nvSpPr>
        <xdr:spPr>
          <a:xfrm>
            <a:off x="3429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17" name="QRE">
            <a:extLst>
              <a:ext uri="{FF2B5EF4-FFF2-40B4-BE49-F238E27FC236}">
                <a16:creationId xmlns:a16="http://schemas.microsoft.com/office/drawing/2014/main" id="{00000000-0008-0000-0200-0000D9260200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18" name="QRE">
            <a:extLst>
              <a:ext uri="{FF2B5EF4-FFF2-40B4-BE49-F238E27FC236}">
                <a16:creationId xmlns:a16="http://schemas.microsoft.com/office/drawing/2014/main" id="{00000000-0008-0000-0200-0000DA260200}"/>
              </a:ext>
            </a:extLst>
          </xdr:cNvPr>
          <xdr:cNvSpPr/>
        </xdr:nvSpPr>
        <xdr:spPr>
          <a:xfrm>
            <a:off x="381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19" name="QRE">
            <a:extLst>
              <a:ext uri="{FF2B5EF4-FFF2-40B4-BE49-F238E27FC236}">
                <a16:creationId xmlns:a16="http://schemas.microsoft.com/office/drawing/2014/main" id="{00000000-0008-0000-0200-0000DB260200}"/>
              </a:ext>
            </a:extLst>
          </xdr:cNvPr>
          <xdr:cNvSpPr/>
        </xdr:nvSpPr>
        <xdr:spPr>
          <a:xfrm>
            <a:off x="406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20" name="QRE">
            <a:extLst>
              <a:ext uri="{FF2B5EF4-FFF2-40B4-BE49-F238E27FC236}">
                <a16:creationId xmlns:a16="http://schemas.microsoft.com/office/drawing/2014/main" id="{00000000-0008-0000-0200-0000DC260200}"/>
              </a:ext>
            </a:extLst>
          </xdr:cNvPr>
          <xdr:cNvSpPr/>
        </xdr:nvSpPr>
        <xdr:spPr>
          <a:xfrm>
            <a:off x="419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21" name="QRE">
            <a:extLst>
              <a:ext uri="{FF2B5EF4-FFF2-40B4-BE49-F238E27FC236}">
                <a16:creationId xmlns:a16="http://schemas.microsoft.com/office/drawing/2014/main" id="{00000000-0008-0000-0200-0000DD260200}"/>
              </a:ext>
            </a:extLst>
          </xdr:cNvPr>
          <xdr:cNvSpPr/>
        </xdr:nvSpPr>
        <xdr:spPr>
          <a:xfrm>
            <a:off x="431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22" name="QRE">
            <a:extLst>
              <a:ext uri="{FF2B5EF4-FFF2-40B4-BE49-F238E27FC236}">
                <a16:creationId xmlns:a16="http://schemas.microsoft.com/office/drawing/2014/main" id="{00000000-0008-0000-0200-0000DE260200}"/>
              </a:ext>
            </a:extLst>
          </xdr:cNvPr>
          <xdr:cNvSpPr/>
        </xdr:nvSpPr>
        <xdr:spPr>
          <a:xfrm>
            <a:off x="457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23" name="QRE">
            <a:extLst>
              <a:ext uri="{FF2B5EF4-FFF2-40B4-BE49-F238E27FC236}">
                <a16:creationId xmlns:a16="http://schemas.microsoft.com/office/drawing/2014/main" id="{00000000-0008-0000-0200-0000DF26020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24" name="QRE">
            <a:extLst>
              <a:ext uri="{FF2B5EF4-FFF2-40B4-BE49-F238E27FC236}">
                <a16:creationId xmlns:a16="http://schemas.microsoft.com/office/drawing/2014/main" id="{00000000-0008-0000-0200-0000E026020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25" name="QRE">
            <a:extLst>
              <a:ext uri="{FF2B5EF4-FFF2-40B4-BE49-F238E27FC236}">
                <a16:creationId xmlns:a16="http://schemas.microsoft.com/office/drawing/2014/main" id="{00000000-0008-0000-0200-0000E126020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26" name="QRE">
            <a:extLst>
              <a:ext uri="{FF2B5EF4-FFF2-40B4-BE49-F238E27FC236}">
                <a16:creationId xmlns:a16="http://schemas.microsoft.com/office/drawing/2014/main" id="{00000000-0008-0000-0200-0000E2260200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27" name="QRE">
            <a:extLst>
              <a:ext uri="{FF2B5EF4-FFF2-40B4-BE49-F238E27FC236}">
                <a16:creationId xmlns:a16="http://schemas.microsoft.com/office/drawing/2014/main" id="{00000000-0008-0000-0200-0000E326020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28" name="QRE">
            <a:extLst>
              <a:ext uri="{FF2B5EF4-FFF2-40B4-BE49-F238E27FC236}">
                <a16:creationId xmlns:a16="http://schemas.microsoft.com/office/drawing/2014/main" id="{00000000-0008-0000-0200-0000E4260200}"/>
              </a:ext>
            </a:extLst>
          </xdr:cNvPr>
          <xdr:cNvSpPr/>
        </xdr:nvSpPr>
        <xdr:spPr>
          <a:xfrm>
            <a:off x="127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29" name="QRE">
            <a:extLst>
              <a:ext uri="{FF2B5EF4-FFF2-40B4-BE49-F238E27FC236}">
                <a16:creationId xmlns:a16="http://schemas.microsoft.com/office/drawing/2014/main" id="{00000000-0008-0000-0200-0000E5260200}"/>
              </a:ext>
            </a:extLst>
          </xdr:cNvPr>
          <xdr:cNvSpPr/>
        </xdr:nvSpPr>
        <xdr:spPr>
          <a:xfrm>
            <a:off x="177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30" name="QRE">
            <a:extLst>
              <a:ext uri="{FF2B5EF4-FFF2-40B4-BE49-F238E27FC236}">
                <a16:creationId xmlns:a16="http://schemas.microsoft.com/office/drawing/2014/main" id="{00000000-0008-0000-0200-0000E6260200}"/>
              </a:ext>
            </a:extLst>
          </xdr:cNvPr>
          <xdr:cNvSpPr/>
        </xdr:nvSpPr>
        <xdr:spPr>
          <a:xfrm>
            <a:off x="2159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31" name="QRE">
            <a:extLst>
              <a:ext uri="{FF2B5EF4-FFF2-40B4-BE49-F238E27FC236}">
                <a16:creationId xmlns:a16="http://schemas.microsoft.com/office/drawing/2014/main" id="{00000000-0008-0000-0200-0000E7260200}"/>
              </a:ext>
            </a:extLst>
          </xdr:cNvPr>
          <xdr:cNvSpPr/>
        </xdr:nvSpPr>
        <xdr:spPr>
          <a:xfrm>
            <a:off x="241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32" name="QRE">
            <a:extLst>
              <a:ext uri="{FF2B5EF4-FFF2-40B4-BE49-F238E27FC236}">
                <a16:creationId xmlns:a16="http://schemas.microsoft.com/office/drawing/2014/main" id="{00000000-0008-0000-0200-0000E8260200}"/>
              </a:ext>
            </a:extLst>
          </xdr:cNvPr>
          <xdr:cNvSpPr/>
        </xdr:nvSpPr>
        <xdr:spPr>
          <a:xfrm>
            <a:off x="2667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33" name="QRE">
            <a:extLst>
              <a:ext uri="{FF2B5EF4-FFF2-40B4-BE49-F238E27FC236}">
                <a16:creationId xmlns:a16="http://schemas.microsoft.com/office/drawing/2014/main" id="{00000000-0008-0000-0200-0000E9260200}"/>
              </a:ext>
            </a:extLst>
          </xdr:cNvPr>
          <xdr:cNvSpPr/>
        </xdr:nvSpPr>
        <xdr:spPr>
          <a:xfrm>
            <a:off x="292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34" name="QRE">
            <a:extLst>
              <a:ext uri="{FF2B5EF4-FFF2-40B4-BE49-F238E27FC236}">
                <a16:creationId xmlns:a16="http://schemas.microsoft.com/office/drawing/2014/main" id="{00000000-0008-0000-0200-0000EA260200}"/>
              </a:ext>
            </a:extLst>
          </xdr:cNvPr>
          <xdr:cNvSpPr/>
        </xdr:nvSpPr>
        <xdr:spPr>
          <a:xfrm>
            <a:off x="3175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35" name="QRE">
            <a:extLst>
              <a:ext uri="{FF2B5EF4-FFF2-40B4-BE49-F238E27FC236}">
                <a16:creationId xmlns:a16="http://schemas.microsoft.com/office/drawing/2014/main" id="{00000000-0008-0000-0200-0000EB260200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36" name="QRE">
            <a:extLst>
              <a:ext uri="{FF2B5EF4-FFF2-40B4-BE49-F238E27FC236}">
                <a16:creationId xmlns:a16="http://schemas.microsoft.com/office/drawing/2014/main" id="{00000000-0008-0000-0200-0000EC260200}"/>
              </a:ext>
            </a:extLst>
          </xdr:cNvPr>
          <xdr:cNvSpPr/>
        </xdr:nvSpPr>
        <xdr:spPr>
          <a:xfrm>
            <a:off x="3429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37" name="QRE">
            <a:extLst>
              <a:ext uri="{FF2B5EF4-FFF2-40B4-BE49-F238E27FC236}">
                <a16:creationId xmlns:a16="http://schemas.microsoft.com/office/drawing/2014/main" id="{00000000-0008-0000-0200-0000ED260200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38" name="QRE">
            <a:extLst>
              <a:ext uri="{FF2B5EF4-FFF2-40B4-BE49-F238E27FC236}">
                <a16:creationId xmlns:a16="http://schemas.microsoft.com/office/drawing/2014/main" id="{00000000-0008-0000-0200-0000EE260200}"/>
              </a:ext>
            </a:extLst>
          </xdr:cNvPr>
          <xdr:cNvSpPr/>
        </xdr:nvSpPr>
        <xdr:spPr>
          <a:xfrm>
            <a:off x="381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39" name="QRE">
            <a:extLst>
              <a:ext uri="{FF2B5EF4-FFF2-40B4-BE49-F238E27FC236}">
                <a16:creationId xmlns:a16="http://schemas.microsoft.com/office/drawing/2014/main" id="{00000000-0008-0000-0200-0000EF260200}"/>
              </a:ext>
            </a:extLst>
          </xdr:cNvPr>
          <xdr:cNvSpPr/>
        </xdr:nvSpPr>
        <xdr:spPr>
          <a:xfrm>
            <a:off x="406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40" name="QRE">
            <a:extLst>
              <a:ext uri="{FF2B5EF4-FFF2-40B4-BE49-F238E27FC236}">
                <a16:creationId xmlns:a16="http://schemas.microsoft.com/office/drawing/2014/main" id="{00000000-0008-0000-0200-0000F0260200}"/>
              </a:ext>
            </a:extLst>
          </xdr:cNvPr>
          <xdr:cNvSpPr/>
        </xdr:nvSpPr>
        <xdr:spPr>
          <a:xfrm>
            <a:off x="419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41" name="QRE">
            <a:extLst>
              <a:ext uri="{FF2B5EF4-FFF2-40B4-BE49-F238E27FC236}">
                <a16:creationId xmlns:a16="http://schemas.microsoft.com/office/drawing/2014/main" id="{00000000-0008-0000-0200-0000F1260200}"/>
              </a:ext>
            </a:extLst>
          </xdr:cNvPr>
          <xdr:cNvSpPr/>
        </xdr:nvSpPr>
        <xdr:spPr>
          <a:xfrm>
            <a:off x="431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42" name="QRE">
            <a:extLst>
              <a:ext uri="{FF2B5EF4-FFF2-40B4-BE49-F238E27FC236}">
                <a16:creationId xmlns:a16="http://schemas.microsoft.com/office/drawing/2014/main" id="{00000000-0008-0000-0200-0000F2260200}"/>
              </a:ext>
            </a:extLst>
          </xdr:cNvPr>
          <xdr:cNvSpPr/>
        </xdr:nvSpPr>
        <xdr:spPr>
          <a:xfrm>
            <a:off x="457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43" name="QRE">
            <a:extLst>
              <a:ext uri="{FF2B5EF4-FFF2-40B4-BE49-F238E27FC236}">
                <a16:creationId xmlns:a16="http://schemas.microsoft.com/office/drawing/2014/main" id="{00000000-0008-0000-0200-0000F3260200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44" name="QRE">
            <a:extLst>
              <a:ext uri="{FF2B5EF4-FFF2-40B4-BE49-F238E27FC236}">
                <a16:creationId xmlns:a16="http://schemas.microsoft.com/office/drawing/2014/main" id="{00000000-0008-0000-0200-0000F426020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45" name="QRE">
            <a:extLst>
              <a:ext uri="{FF2B5EF4-FFF2-40B4-BE49-F238E27FC236}">
                <a16:creationId xmlns:a16="http://schemas.microsoft.com/office/drawing/2014/main" id="{00000000-0008-0000-0200-0000F5260200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46" name="QRE">
            <a:extLst>
              <a:ext uri="{FF2B5EF4-FFF2-40B4-BE49-F238E27FC236}">
                <a16:creationId xmlns:a16="http://schemas.microsoft.com/office/drawing/2014/main" id="{00000000-0008-0000-0200-0000F626020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47" name="QRE">
            <a:extLst>
              <a:ext uri="{FF2B5EF4-FFF2-40B4-BE49-F238E27FC236}">
                <a16:creationId xmlns:a16="http://schemas.microsoft.com/office/drawing/2014/main" id="{00000000-0008-0000-0200-0000F726020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48" name="QRE">
            <a:extLst>
              <a:ext uri="{FF2B5EF4-FFF2-40B4-BE49-F238E27FC236}">
                <a16:creationId xmlns:a16="http://schemas.microsoft.com/office/drawing/2014/main" id="{00000000-0008-0000-0200-0000F8260200}"/>
              </a:ext>
            </a:extLst>
          </xdr:cNvPr>
          <xdr:cNvSpPr/>
        </xdr:nvSpPr>
        <xdr:spPr>
          <a:xfrm>
            <a:off x="114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49" name="QRE">
            <a:extLst>
              <a:ext uri="{FF2B5EF4-FFF2-40B4-BE49-F238E27FC236}">
                <a16:creationId xmlns:a16="http://schemas.microsoft.com/office/drawing/2014/main" id="{00000000-0008-0000-0200-0000F9260200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50" name="QRE">
            <a:extLst>
              <a:ext uri="{FF2B5EF4-FFF2-40B4-BE49-F238E27FC236}">
                <a16:creationId xmlns:a16="http://schemas.microsoft.com/office/drawing/2014/main" id="{00000000-0008-0000-0200-0000FA260200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51" name="QRE">
            <a:extLst>
              <a:ext uri="{FF2B5EF4-FFF2-40B4-BE49-F238E27FC236}">
                <a16:creationId xmlns:a16="http://schemas.microsoft.com/office/drawing/2014/main" id="{00000000-0008-0000-0200-0000FB260200}"/>
              </a:ext>
            </a:extLst>
          </xdr:cNvPr>
          <xdr:cNvSpPr/>
        </xdr:nvSpPr>
        <xdr:spPr>
          <a:xfrm>
            <a:off x="203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52" name="QRE">
            <a:extLst>
              <a:ext uri="{FF2B5EF4-FFF2-40B4-BE49-F238E27FC236}">
                <a16:creationId xmlns:a16="http://schemas.microsoft.com/office/drawing/2014/main" id="{00000000-0008-0000-0200-0000FC260200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53" name="QRE">
            <a:extLst>
              <a:ext uri="{FF2B5EF4-FFF2-40B4-BE49-F238E27FC236}">
                <a16:creationId xmlns:a16="http://schemas.microsoft.com/office/drawing/2014/main" id="{00000000-0008-0000-0200-0000FD260200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54" name="QRE">
            <a:extLst>
              <a:ext uri="{FF2B5EF4-FFF2-40B4-BE49-F238E27FC236}">
                <a16:creationId xmlns:a16="http://schemas.microsoft.com/office/drawing/2014/main" id="{00000000-0008-0000-0200-0000FE260200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55" name="QRE">
            <a:extLst>
              <a:ext uri="{FF2B5EF4-FFF2-40B4-BE49-F238E27FC236}">
                <a16:creationId xmlns:a16="http://schemas.microsoft.com/office/drawing/2014/main" id="{00000000-0008-0000-0200-0000FF260200}"/>
              </a:ext>
            </a:extLst>
          </xdr:cNvPr>
          <xdr:cNvSpPr/>
        </xdr:nvSpPr>
        <xdr:spPr>
          <a:xfrm>
            <a:off x="304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56" name="QRE">
            <a:extLst>
              <a:ext uri="{FF2B5EF4-FFF2-40B4-BE49-F238E27FC236}">
                <a16:creationId xmlns:a16="http://schemas.microsoft.com/office/drawing/2014/main" id="{00000000-0008-0000-0200-000000270200}"/>
              </a:ext>
            </a:extLst>
          </xdr:cNvPr>
          <xdr:cNvSpPr/>
        </xdr:nvSpPr>
        <xdr:spPr>
          <a:xfrm>
            <a:off x="3175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57" name="QRE">
            <a:extLst>
              <a:ext uri="{FF2B5EF4-FFF2-40B4-BE49-F238E27FC236}">
                <a16:creationId xmlns:a16="http://schemas.microsoft.com/office/drawing/2014/main" id="{00000000-0008-0000-0200-000001270200}"/>
              </a:ext>
            </a:extLst>
          </xdr:cNvPr>
          <xdr:cNvSpPr/>
        </xdr:nvSpPr>
        <xdr:spPr>
          <a:xfrm>
            <a:off x="3429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58" name="QRE">
            <a:extLst>
              <a:ext uri="{FF2B5EF4-FFF2-40B4-BE49-F238E27FC236}">
                <a16:creationId xmlns:a16="http://schemas.microsoft.com/office/drawing/2014/main" id="{00000000-0008-0000-0200-000002270200}"/>
              </a:ext>
            </a:extLst>
          </xdr:cNvPr>
          <xdr:cNvSpPr/>
        </xdr:nvSpPr>
        <xdr:spPr>
          <a:xfrm>
            <a:off x="381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59" name="QRE">
            <a:extLst>
              <a:ext uri="{FF2B5EF4-FFF2-40B4-BE49-F238E27FC236}">
                <a16:creationId xmlns:a16="http://schemas.microsoft.com/office/drawing/2014/main" id="{00000000-0008-0000-0200-000003270200}"/>
              </a:ext>
            </a:extLst>
          </xdr:cNvPr>
          <xdr:cNvSpPr/>
        </xdr:nvSpPr>
        <xdr:spPr>
          <a:xfrm>
            <a:off x="406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60" name="QRE">
            <a:extLst>
              <a:ext uri="{FF2B5EF4-FFF2-40B4-BE49-F238E27FC236}">
                <a16:creationId xmlns:a16="http://schemas.microsoft.com/office/drawing/2014/main" id="{00000000-0008-0000-0200-000004270200}"/>
              </a:ext>
            </a:extLst>
          </xdr:cNvPr>
          <xdr:cNvSpPr/>
        </xdr:nvSpPr>
        <xdr:spPr>
          <a:xfrm>
            <a:off x="419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61" name="QRE">
            <a:extLst>
              <a:ext uri="{FF2B5EF4-FFF2-40B4-BE49-F238E27FC236}">
                <a16:creationId xmlns:a16="http://schemas.microsoft.com/office/drawing/2014/main" id="{00000000-0008-0000-0200-000005270200}"/>
              </a:ext>
            </a:extLst>
          </xdr:cNvPr>
          <xdr:cNvSpPr/>
        </xdr:nvSpPr>
        <xdr:spPr>
          <a:xfrm>
            <a:off x="431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62" name="QRE">
            <a:extLst>
              <a:ext uri="{FF2B5EF4-FFF2-40B4-BE49-F238E27FC236}">
                <a16:creationId xmlns:a16="http://schemas.microsoft.com/office/drawing/2014/main" id="{00000000-0008-0000-0200-000006270200}"/>
              </a:ext>
            </a:extLst>
          </xdr:cNvPr>
          <xdr:cNvSpPr/>
        </xdr:nvSpPr>
        <xdr:spPr>
          <a:xfrm>
            <a:off x="457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63" name="QRE">
            <a:extLst>
              <a:ext uri="{FF2B5EF4-FFF2-40B4-BE49-F238E27FC236}">
                <a16:creationId xmlns:a16="http://schemas.microsoft.com/office/drawing/2014/main" id="{00000000-0008-0000-0200-00000727020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64" name="QRE">
            <a:extLst>
              <a:ext uri="{FF2B5EF4-FFF2-40B4-BE49-F238E27FC236}">
                <a16:creationId xmlns:a16="http://schemas.microsoft.com/office/drawing/2014/main" id="{00000000-0008-0000-0200-00000827020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65" name="QRE">
            <a:extLst>
              <a:ext uri="{FF2B5EF4-FFF2-40B4-BE49-F238E27FC236}">
                <a16:creationId xmlns:a16="http://schemas.microsoft.com/office/drawing/2014/main" id="{00000000-0008-0000-0200-000009270200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66" name="QRE">
            <a:extLst>
              <a:ext uri="{FF2B5EF4-FFF2-40B4-BE49-F238E27FC236}">
                <a16:creationId xmlns:a16="http://schemas.microsoft.com/office/drawing/2014/main" id="{00000000-0008-0000-0200-00000A270200}"/>
              </a:ext>
            </a:extLst>
          </xdr:cNvPr>
          <xdr:cNvSpPr/>
        </xdr:nvSpPr>
        <xdr:spPr>
          <a:xfrm>
            <a:off x="1270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67" name="QRE">
            <a:extLst>
              <a:ext uri="{FF2B5EF4-FFF2-40B4-BE49-F238E27FC236}">
                <a16:creationId xmlns:a16="http://schemas.microsoft.com/office/drawing/2014/main" id="{00000000-0008-0000-0200-00000B270200}"/>
              </a:ext>
            </a:extLst>
          </xdr:cNvPr>
          <xdr:cNvSpPr/>
        </xdr:nvSpPr>
        <xdr:spPr>
          <a:xfrm>
            <a:off x="139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68" name="QRE">
            <a:extLst>
              <a:ext uri="{FF2B5EF4-FFF2-40B4-BE49-F238E27FC236}">
                <a16:creationId xmlns:a16="http://schemas.microsoft.com/office/drawing/2014/main" id="{00000000-0008-0000-0200-00000C270200}"/>
              </a:ext>
            </a:extLst>
          </xdr:cNvPr>
          <xdr:cNvSpPr/>
        </xdr:nvSpPr>
        <xdr:spPr>
          <a:xfrm>
            <a:off x="152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69" name="QRE">
            <a:extLst>
              <a:ext uri="{FF2B5EF4-FFF2-40B4-BE49-F238E27FC236}">
                <a16:creationId xmlns:a16="http://schemas.microsoft.com/office/drawing/2014/main" id="{00000000-0008-0000-0200-00000D270200}"/>
              </a:ext>
            </a:extLst>
          </xdr:cNvPr>
          <xdr:cNvSpPr/>
        </xdr:nvSpPr>
        <xdr:spPr>
          <a:xfrm>
            <a:off x="1778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70" name="QRE">
            <a:extLst>
              <a:ext uri="{FF2B5EF4-FFF2-40B4-BE49-F238E27FC236}">
                <a16:creationId xmlns:a16="http://schemas.microsoft.com/office/drawing/2014/main" id="{00000000-0008-0000-0200-00000E270200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71" name="QRE">
            <a:extLst>
              <a:ext uri="{FF2B5EF4-FFF2-40B4-BE49-F238E27FC236}">
                <a16:creationId xmlns:a16="http://schemas.microsoft.com/office/drawing/2014/main" id="{00000000-0008-0000-0200-00000F270200}"/>
              </a:ext>
            </a:extLst>
          </xdr:cNvPr>
          <xdr:cNvSpPr/>
        </xdr:nvSpPr>
        <xdr:spPr>
          <a:xfrm>
            <a:off x="2159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72" name="QRE">
            <a:extLst>
              <a:ext uri="{FF2B5EF4-FFF2-40B4-BE49-F238E27FC236}">
                <a16:creationId xmlns:a16="http://schemas.microsoft.com/office/drawing/2014/main" id="{00000000-0008-0000-0200-000010270200}"/>
              </a:ext>
            </a:extLst>
          </xdr:cNvPr>
          <xdr:cNvSpPr/>
        </xdr:nvSpPr>
        <xdr:spPr>
          <a:xfrm>
            <a:off x="266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73" name="QRE">
            <a:extLst>
              <a:ext uri="{FF2B5EF4-FFF2-40B4-BE49-F238E27FC236}">
                <a16:creationId xmlns:a16="http://schemas.microsoft.com/office/drawing/2014/main" id="{00000000-0008-0000-0200-000011270200}"/>
              </a:ext>
            </a:extLst>
          </xdr:cNvPr>
          <xdr:cNvSpPr/>
        </xdr:nvSpPr>
        <xdr:spPr>
          <a:xfrm>
            <a:off x="3429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74" name="QRE">
            <a:extLst>
              <a:ext uri="{FF2B5EF4-FFF2-40B4-BE49-F238E27FC236}">
                <a16:creationId xmlns:a16="http://schemas.microsoft.com/office/drawing/2014/main" id="{00000000-0008-0000-0200-000012270200}"/>
              </a:ext>
            </a:extLst>
          </xdr:cNvPr>
          <xdr:cNvSpPr/>
        </xdr:nvSpPr>
        <xdr:spPr>
          <a:xfrm>
            <a:off x="3556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75" name="QRE">
            <a:extLst>
              <a:ext uri="{FF2B5EF4-FFF2-40B4-BE49-F238E27FC236}">
                <a16:creationId xmlns:a16="http://schemas.microsoft.com/office/drawing/2014/main" id="{00000000-0008-0000-0200-000013270200}"/>
              </a:ext>
            </a:extLst>
          </xdr:cNvPr>
          <xdr:cNvSpPr/>
        </xdr:nvSpPr>
        <xdr:spPr>
          <a:xfrm>
            <a:off x="3810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76" name="QRE">
            <a:extLst>
              <a:ext uri="{FF2B5EF4-FFF2-40B4-BE49-F238E27FC236}">
                <a16:creationId xmlns:a16="http://schemas.microsoft.com/office/drawing/2014/main" id="{00000000-0008-0000-0200-000014270200}"/>
              </a:ext>
            </a:extLst>
          </xdr:cNvPr>
          <xdr:cNvSpPr/>
        </xdr:nvSpPr>
        <xdr:spPr>
          <a:xfrm>
            <a:off x="457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77" name="QRE">
            <a:extLst>
              <a:ext uri="{FF2B5EF4-FFF2-40B4-BE49-F238E27FC236}">
                <a16:creationId xmlns:a16="http://schemas.microsoft.com/office/drawing/2014/main" id="{00000000-0008-0000-0200-000015270200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78" name="QRE">
            <a:extLst>
              <a:ext uri="{FF2B5EF4-FFF2-40B4-BE49-F238E27FC236}">
                <a16:creationId xmlns:a16="http://schemas.microsoft.com/office/drawing/2014/main" id="{00000000-0008-0000-0200-00001627020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79" name="QRE">
            <a:extLst>
              <a:ext uri="{FF2B5EF4-FFF2-40B4-BE49-F238E27FC236}">
                <a16:creationId xmlns:a16="http://schemas.microsoft.com/office/drawing/2014/main" id="{00000000-0008-0000-0200-00001727020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80" name="QRE">
            <a:extLst>
              <a:ext uri="{FF2B5EF4-FFF2-40B4-BE49-F238E27FC236}">
                <a16:creationId xmlns:a16="http://schemas.microsoft.com/office/drawing/2014/main" id="{00000000-0008-0000-0200-000018270200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81" name="QRE">
            <a:extLst>
              <a:ext uri="{FF2B5EF4-FFF2-40B4-BE49-F238E27FC236}">
                <a16:creationId xmlns:a16="http://schemas.microsoft.com/office/drawing/2014/main" id="{00000000-0008-0000-0200-00001927020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82" name="QRE">
            <a:extLst>
              <a:ext uri="{FF2B5EF4-FFF2-40B4-BE49-F238E27FC236}">
                <a16:creationId xmlns:a16="http://schemas.microsoft.com/office/drawing/2014/main" id="{00000000-0008-0000-0200-00001A270200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83" name="QRE">
            <a:extLst>
              <a:ext uri="{FF2B5EF4-FFF2-40B4-BE49-F238E27FC236}">
                <a16:creationId xmlns:a16="http://schemas.microsoft.com/office/drawing/2014/main" id="{00000000-0008-0000-0200-00001B27020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84" name="QRE">
            <a:extLst>
              <a:ext uri="{FF2B5EF4-FFF2-40B4-BE49-F238E27FC236}">
                <a16:creationId xmlns:a16="http://schemas.microsoft.com/office/drawing/2014/main" id="{00000000-0008-0000-0200-00001C27020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85" name="QRE">
            <a:extLst>
              <a:ext uri="{FF2B5EF4-FFF2-40B4-BE49-F238E27FC236}">
                <a16:creationId xmlns:a16="http://schemas.microsoft.com/office/drawing/2014/main" id="{00000000-0008-0000-0200-00001D270200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86" name="QRE">
            <a:extLst>
              <a:ext uri="{FF2B5EF4-FFF2-40B4-BE49-F238E27FC236}">
                <a16:creationId xmlns:a16="http://schemas.microsoft.com/office/drawing/2014/main" id="{00000000-0008-0000-0200-00001E27020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87" name="QRE">
            <a:extLst>
              <a:ext uri="{FF2B5EF4-FFF2-40B4-BE49-F238E27FC236}">
                <a16:creationId xmlns:a16="http://schemas.microsoft.com/office/drawing/2014/main" id="{00000000-0008-0000-0200-00001F27020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88" name="QRE">
            <a:extLst>
              <a:ext uri="{FF2B5EF4-FFF2-40B4-BE49-F238E27FC236}">
                <a16:creationId xmlns:a16="http://schemas.microsoft.com/office/drawing/2014/main" id="{00000000-0008-0000-0200-00002027020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89" name="QRE">
            <a:extLst>
              <a:ext uri="{FF2B5EF4-FFF2-40B4-BE49-F238E27FC236}">
                <a16:creationId xmlns:a16="http://schemas.microsoft.com/office/drawing/2014/main" id="{00000000-0008-0000-0200-00002127020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90" name="QRE">
            <a:extLst>
              <a:ext uri="{FF2B5EF4-FFF2-40B4-BE49-F238E27FC236}">
                <a16:creationId xmlns:a16="http://schemas.microsoft.com/office/drawing/2014/main" id="{00000000-0008-0000-0200-000022270200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91" name="QRE">
            <a:extLst>
              <a:ext uri="{FF2B5EF4-FFF2-40B4-BE49-F238E27FC236}">
                <a16:creationId xmlns:a16="http://schemas.microsoft.com/office/drawing/2014/main" id="{00000000-0008-0000-0200-000023270200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92" name="QRE">
            <a:extLst>
              <a:ext uri="{FF2B5EF4-FFF2-40B4-BE49-F238E27FC236}">
                <a16:creationId xmlns:a16="http://schemas.microsoft.com/office/drawing/2014/main" id="{00000000-0008-0000-0200-000024270200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93" name="QRE">
            <a:extLst>
              <a:ext uri="{FF2B5EF4-FFF2-40B4-BE49-F238E27FC236}">
                <a16:creationId xmlns:a16="http://schemas.microsoft.com/office/drawing/2014/main" id="{00000000-0008-0000-0200-000025270200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94" name="QRE">
            <a:extLst>
              <a:ext uri="{FF2B5EF4-FFF2-40B4-BE49-F238E27FC236}">
                <a16:creationId xmlns:a16="http://schemas.microsoft.com/office/drawing/2014/main" id="{00000000-0008-0000-0200-000026270200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95" name="QRE">
            <a:extLst>
              <a:ext uri="{FF2B5EF4-FFF2-40B4-BE49-F238E27FC236}">
                <a16:creationId xmlns:a16="http://schemas.microsoft.com/office/drawing/2014/main" id="{00000000-0008-0000-0200-000027270200}"/>
              </a:ext>
            </a:extLst>
          </xdr:cNvPr>
          <xdr:cNvSpPr/>
        </xdr:nvSpPr>
        <xdr:spPr>
          <a:xfrm>
            <a:off x="381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96" name="QRE">
            <a:extLst>
              <a:ext uri="{FF2B5EF4-FFF2-40B4-BE49-F238E27FC236}">
                <a16:creationId xmlns:a16="http://schemas.microsoft.com/office/drawing/2014/main" id="{00000000-0008-0000-0200-000028270200}"/>
              </a:ext>
            </a:extLst>
          </xdr:cNvPr>
          <xdr:cNvSpPr/>
        </xdr:nvSpPr>
        <xdr:spPr>
          <a:xfrm>
            <a:off x="393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97" name="QRE">
            <a:extLst>
              <a:ext uri="{FF2B5EF4-FFF2-40B4-BE49-F238E27FC236}">
                <a16:creationId xmlns:a16="http://schemas.microsoft.com/office/drawing/2014/main" id="{00000000-0008-0000-0200-000029270200}"/>
              </a:ext>
            </a:extLst>
          </xdr:cNvPr>
          <xdr:cNvSpPr/>
        </xdr:nvSpPr>
        <xdr:spPr>
          <a:xfrm>
            <a:off x="406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98" name="QRE">
            <a:extLst>
              <a:ext uri="{FF2B5EF4-FFF2-40B4-BE49-F238E27FC236}">
                <a16:creationId xmlns:a16="http://schemas.microsoft.com/office/drawing/2014/main" id="{00000000-0008-0000-0200-00002A270200}"/>
              </a:ext>
            </a:extLst>
          </xdr:cNvPr>
          <xdr:cNvSpPr/>
        </xdr:nvSpPr>
        <xdr:spPr>
          <a:xfrm>
            <a:off x="419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99" name="QRE">
            <a:extLst>
              <a:ext uri="{FF2B5EF4-FFF2-40B4-BE49-F238E27FC236}">
                <a16:creationId xmlns:a16="http://schemas.microsoft.com/office/drawing/2014/main" id="{00000000-0008-0000-0200-00002B270200}"/>
              </a:ext>
            </a:extLst>
          </xdr:cNvPr>
          <xdr:cNvSpPr/>
        </xdr:nvSpPr>
        <xdr:spPr>
          <a:xfrm>
            <a:off x="431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00" name="QRE">
            <a:extLst>
              <a:ext uri="{FF2B5EF4-FFF2-40B4-BE49-F238E27FC236}">
                <a16:creationId xmlns:a16="http://schemas.microsoft.com/office/drawing/2014/main" id="{00000000-0008-0000-0200-00002C270200}"/>
              </a:ext>
            </a:extLst>
          </xdr:cNvPr>
          <xdr:cNvSpPr/>
        </xdr:nvSpPr>
        <xdr:spPr>
          <a:xfrm>
            <a:off x="444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01" name="QRE">
            <a:extLst>
              <a:ext uri="{FF2B5EF4-FFF2-40B4-BE49-F238E27FC236}">
                <a16:creationId xmlns:a16="http://schemas.microsoft.com/office/drawing/2014/main" id="{00000000-0008-0000-0200-00002D270200}"/>
              </a:ext>
            </a:extLst>
          </xdr:cNvPr>
          <xdr:cNvSpPr/>
        </xdr:nvSpPr>
        <xdr:spPr>
          <a:xfrm>
            <a:off x="457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02" name="QRE">
            <a:extLst>
              <a:ext uri="{FF2B5EF4-FFF2-40B4-BE49-F238E27FC236}">
                <a16:creationId xmlns:a16="http://schemas.microsoft.com/office/drawing/2014/main" id="{00000000-0008-0000-0200-00002E270200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03" name="QRE">
            <a:extLst>
              <a:ext uri="{FF2B5EF4-FFF2-40B4-BE49-F238E27FC236}">
                <a16:creationId xmlns:a16="http://schemas.microsoft.com/office/drawing/2014/main" id="{00000000-0008-0000-0200-00002F270200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04" name="QRE">
            <a:extLst>
              <a:ext uri="{FF2B5EF4-FFF2-40B4-BE49-F238E27FC236}">
                <a16:creationId xmlns:a16="http://schemas.microsoft.com/office/drawing/2014/main" id="{00000000-0008-0000-0200-000030270200}"/>
              </a:ext>
            </a:extLst>
          </xdr:cNvPr>
          <xdr:cNvSpPr/>
        </xdr:nvSpPr>
        <xdr:spPr>
          <a:xfrm>
            <a:off x="2032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05" name="QRE">
            <a:extLst>
              <a:ext uri="{FF2B5EF4-FFF2-40B4-BE49-F238E27FC236}">
                <a16:creationId xmlns:a16="http://schemas.microsoft.com/office/drawing/2014/main" id="{00000000-0008-0000-0200-000031270200}"/>
              </a:ext>
            </a:extLst>
          </xdr:cNvPr>
          <xdr:cNvSpPr/>
        </xdr:nvSpPr>
        <xdr:spPr>
          <a:xfrm>
            <a:off x="2286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06" name="QRE">
            <a:extLst>
              <a:ext uri="{FF2B5EF4-FFF2-40B4-BE49-F238E27FC236}">
                <a16:creationId xmlns:a16="http://schemas.microsoft.com/office/drawing/2014/main" id="{00000000-0008-0000-0200-000032270200}"/>
              </a:ext>
            </a:extLst>
          </xdr:cNvPr>
          <xdr:cNvSpPr/>
        </xdr:nvSpPr>
        <xdr:spPr>
          <a:xfrm>
            <a:off x="2413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07" name="QRE">
            <a:extLst>
              <a:ext uri="{FF2B5EF4-FFF2-40B4-BE49-F238E27FC236}">
                <a16:creationId xmlns:a16="http://schemas.microsoft.com/office/drawing/2014/main" id="{00000000-0008-0000-0200-000033270200}"/>
              </a:ext>
            </a:extLst>
          </xdr:cNvPr>
          <xdr:cNvSpPr/>
        </xdr:nvSpPr>
        <xdr:spPr>
          <a:xfrm>
            <a:off x="2540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08" name="QRE">
            <a:extLst>
              <a:ext uri="{FF2B5EF4-FFF2-40B4-BE49-F238E27FC236}">
                <a16:creationId xmlns:a16="http://schemas.microsoft.com/office/drawing/2014/main" id="{00000000-0008-0000-0200-000034270200}"/>
              </a:ext>
            </a:extLst>
          </xdr:cNvPr>
          <xdr:cNvSpPr/>
        </xdr:nvSpPr>
        <xdr:spPr>
          <a:xfrm>
            <a:off x="266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09" name="QRE">
            <a:extLst>
              <a:ext uri="{FF2B5EF4-FFF2-40B4-BE49-F238E27FC236}">
                <a16:creationId xmlns:a16="http://schemas.microsoft.com/office/drawing/2014/main" id="{00000000-0008-0000-0200-000035270200}"/>
              </a:ext>
            </a:extLst>
          </xdr:cNvPr>
          <xdr:cNvSpPr/>
        </xdr:nvSpPr>
        <xdr:spPr>
          <a:xfrm>
            <a:off x="2794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10" name="QRE">
            <a:extLst>
              <a:ext uri="{FF2B5EF4-FFF2-40B4-BE49-F238E27FC236}">
                <a16:creationId xmlns:a16="http://schemas.microsoft.com/office/drawing/2014/main" id="{00000000-0008-0000-0200-000036270200}"/>
              </a:ext>
            </a:extLst>
          </xdr:cNvPr>
          <xdr:cNvSpPr/>
        </xdr:nvSpPr>
        <xdr:spPr>
          <a:xfrm>
            <a:off x="2921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11" name="QRE">
            <a:extLst>
              <a:ext uri="{FF2B5EF4-FFF2-40B4-BE49-F238E27FC236}">
                <a16:creationId xmlns:a16="http://schemas.microsoft.com/office/drawing/2014/main" id="{00000000-0008-0000-0200-000037270200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12" name="QRE">
            <a:extLst>
              <a:ext uri="{FF2B5EF4-FFF2-40B4-BE49-F238E27FC236}">
                <a16:creationId xmlns:a16="http://schemas.microsoft.com/office/drawing/2014/main" id="{00000000-0008-0000-0200-000038270200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13" name="QRE">
            <a:extLst>
              <a:ext uri="{FF2B5EF4-FFF2-40B4-BE49-F238E27FC236}">
                <a16:creationId xmlns:a16="http://schemas.microsoft.com/office/drawing/2014/main" id="{00000000-0008-0000-0200-000039270200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14" name="QRE">
            <a:extLst>
              <a:ext uri="{FF2B5EF4-FFF2-40B4-BE49-F238E27FC236}">
                <a16:creationId xmlns:a16="http://schemas.microsoft.com/office/drawing/2014/main" id="{00000000-0008-0000-0200-00003A27020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15" name="QRE">
            <a:extLst>
              <a:ext uri="{FF2B5EF4-FFF2-40B4-BE49-F238E27FC236}">
                <a16:creationId xmlns:a16="http://schemas.microsoft.com/office/drawing/2014/main" id="{00000000-0008-0000-0200-00003B270200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16" name="QRE">
            <a:extLst>
              <a:ext uri="{FF2B5EF4-FFF2-40B4-BE49-F238E27FC236}">
                <a16:creationId xmlns:a16="http://schemas.microsoft.com/office/drawing/2014/main" id="{00000000-0008-0000-0200-00003C270200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17" name="QRE">
            <a:extLst>
              <a:ext uri="{FF2B5EF4-FFF2-40B4-BE49-F238E27FC236}">
                <a16:creationId xmlns:a16="http://schemas.microsoft.com/office/drawing/2014/main" id="{00000000-0008-0000-0200-00003D270200}"/>
              </a:ext>
            </a:extLst>
          </xdr:cNvPr>
          <xdr:cNvSpPr/>
        </xdr:nvSpPr>
        <xdr:spPr>
          <a:xfrm>
            <a:off x="139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18" name="QRE">
            <a:extLst>
              <a:ext uri="{FF2B5EF4-FFF2-40B4-BE49-F238E27FC236}">
                <a16:creationId xmlns:a16="http://schemas.microsoft.com/office/drawing/2014/main" id="{00000000-0008-0000-0200-00003E270200}"/>
              </a:ext>
            </a:extLst>
          </xdr:cNvPr>
          <xdr:cNvSpPr/>
        </xdr:nvSpPr>
        <xdr:spPr>
          <a:xfrm>
            <a:off x="165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19" name="QRE">
            <a:extLst>
              <a:ext uri="{FF2B5EF4-FFF2-40B4-BE49-F238E27FC236}">
                <a16:creationId xmlns:a16="http://schemas.microsoft.com/office/drawing/2014/main" id="{00000000-0008-0000-0200-00003F270200}"/>
              </a:ext>
            </a:extLst>
          </xdr:cNvPr>
          <xdr:cNvSpPr/>
        </xdr:nvSpPr>
        <xdr:spPr>
          <a:xfrm>
            <a:off x="177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20" name="QRE">
            <a:extLst>
              <a:ext uri="{FF2B5EF4-FFF2-40B4-BE49-F238E27FC236}">
                <a16:creationId xmlns:a16="http://schemas.microsoft.com/office/drawing/2014/main" id="{00000000-0008-0000-0200-000040270200}"/>
              </a:ext>
            </a:extLst>
          </xdr:cNvPr>
          <xdr:cNvSpPr/>
        </xdr:nvSpPr>
        <xdr:spPr>
          <a:xfrm>
            <a:off x="190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21" name="QRE">
            <a:extLst>
              <a:ext uri="{FF2B5EF4-FFF2-40B4-BE49-F238E27FC236}">
                <a16:creationId xmlns:a16="http://schemas.microsoft.com/office/drawing/2014/main" id="{00000000-0008-0000-0200-00004127020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22" name="QRE">
            <a:extLst>
              <a:ext uri="{FF2B5EF4-FFF2-40B4-BE49-F238E27FC236}">
                <a16:creationId xmlns:a16="http://schemas.microsoft.com/office/drawing/2014/main" id="{00000000-0008-0000-0200-000042270200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23" name="QRE">
            <a:extLst>
              <a:ext uri="{FF2B5EF4-FFF2-40B4-BE49-F238E27FC236}">
                <a16:creationId xmlns:a16="http://schemas.microsoft.com/office/drawing/2014/main" id="{00000000-0008-0000-0200-000043270200}"/>
              </a:ext>
            </a:extLst>
          </xdr:cNvPr>
          <xdr:cNvSpPr/>
        </xdr:nvSpPr>
        <xdr:spPr>
          <a:xfrm>
            <a:off x="2286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24" name="QRE">
            <a:extLst>
              <a:ext uri="{FF2B5EF4-FFF2-40B4-BE49-F238E27FC236}">
                <a16:creationId xmlns:a16="http://schemas.microsoft.com/office/drawing/2014/main" id="{00000000-0008-0000-0200-000044270200}"/>
              </a:ext>
            </a:extLst>
          </xdr:cNvPr>
          <xdr:cNvSpPr/>
        </xdr:nvSpPr>
        <xdr:spPr>
          <a:xfrm>
            <a:off x="2540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25" name="QRE">
            <a:extLst>
              <a:ext uri="{FF2B5EF4-FFF2-40B4-BE49-F238E27FC236}">
                <a16:creationId xmlns:a16="http://schemas.microsoft.com/office/drawing/2014/main" id="{00000000-0008-0000-0200-000045270200}"/>
              </a:ext>
            </a:extLst>
          </xdr:cNvPr>
          <xdr:cNvSpPr/>
        </xdr:nvSpPr>
        <xdr:spPr>
          <a:xfrm>
            <a:off x="279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26" name="QRE">
            <a:extLst>
              <a:ext uri="{FF2B5EF4-FFF2-40B4-BE49-F238E27FC236}">
                <a16:creationId xmlns:a16="http://schemas.microsoft.com/office/drawing/2014/main" id="{00000000-0008-0000-0200-000046270200}"/>
              </a:ext>
            </a:extLst>
          </xdr:cNvPr>
          <xdr:cNvSpPr/>
        </xdr:nvSpPr>
        <xdr:spPr>
          <a:xfrm>
            <a:off x="292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27" name="QRE">
            <a:extLst>
              <a:ext uri="{FF2B5EF4-FFF2-40B4-BE49-F238E27FC236}">
                <a16:creationId xmlns:a16="http://schemas.microsoft.com/office/drawing/2014/main" id="{00000000-0008-0000-0200-000047270200}"/>
              </a:ext>
            </a:extLst>
          </xdr:cNvPr>
          <xdr:cNvSpPr/>
        </xdr:nvSpPr>
        <xdr:spPr>
          <a:xfrm>
            <a:off x="317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28" name="QRE">
            <a:extLst>
              <a:ext uri="{FF2B5EF4-FFF2-40B4-BE49-F238E27FC236}">
                <a16:creationId xmlns:a16="http://schemas.microsoft.com/office/drawing/2014/main" id="{00000000-0008-0000-0200-000048270200}"/>
              </a:ext>
            </a:extLst>
          </xdr:cNvPr>
          <xdr:cNvSpPr/>
        </xdr:nvSpPr>
        <xdr:spPr>
          <a:xfrm>
            <a:off x="342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29" name="QRE">
            <a:extLst>
              <a:ext uri="{FF2B5EF4-FFF2-40B4-BE49-F238E27FC236}">
                <a16:creationId xmlns:a16="http://schemas.microsoft.com/office/drawing/2014/main" id="{00000000-0008-0000-0200-000049270200}"/>
              </a:ext>
            </a:extLst>
          </xdr:cNvPr>
          <xdr:cNvSpPr/>
        </xdr:nvSpPr>
        <xdr:spPr>
          <a:xfrm>
            <a:off x="3556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30" name="QRE">
            <a:extLst>
              <a:ext uri="{FF2B5EF4-FFF2-40B4-BE49-F238E27FC236}">
                <a16:creationId xmlns:a16="http://schemas.microsoft.com/office/drawing/2014/main" id="{00000000-0008-0000-0200-00004A270200}"/>
              </a:ext>
            </a:extLst>
          </xdr:cNvPr>
          <xdr:cNvSpPr/>
        </xdr:nvSpPr>
        <xdr:spPr>
          <a:xfrm>
            <a:off x="368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31" name="QRE">
            <a:extLst>
              <a:ext uri="{FF2B5EF4-FFF2-40B4-BE49-F238E27FC236}">
                <a16:creationId xmlns:a16="http://schemas.microsoft.com/office/drawing/2014/main" id="{00000000-0008-0000-0200-00004B270200}"/>
              </a:ext>
            </a:extLst>
          </xdr:cNvPr>
          <xdr:cNvSpPr/>
        </xdr:nvSpPr>
        <xdr:spPr>
          <a:xfrm>
            <a:off x="393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32" name="QRE">
            <a:extLst>
              <a:ext uri="{FF2B5EF4-FFF2-40B4-BE49-F238E27FC236}">
                <a16:creationId xmlns:a16="http://schemas.microsoft.com/office/drawing/2014/main" id="{00000000-0008-0000-0200-00004C270200}"/>
              </a:ext>
            </a:extLst>
          </xdr:cNvPr>
          <xdr:cNvSpPr/>
        </xdr:nvSpPr>
        <xdr:spPr>
          <a:xfrm>
            <a:off x="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33" name="QRE">
            <a:extLst>
              <a:ext uri="{FF2B5EF4-FFF2-40B4-BE49-F238E27FC236}">
                <a16:creationId xmlns:a16="http://schemas.microsoft.com/office/drawing/2014/main" id="{00000000-0008-0000-0200-00004D270200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34" name="QRE">
            <a:extLst>
              <a:ext uri="{FF2B5EF4-FFF2-40B4-BE49-F238E27FC236}">
                <a16:creationId xmlns:a16="http://schemas.microsoft.com/office/drawing/2014/main" id="{00000000-0008-0000-0200-00004E270200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35" name="QRE">
            <a:extLst>
              <a:ext uri="{FF2B5EF4-FFF2-40B4-BE49-F238E27FC236}">
                <a16:creationId xmlns:a16="http://schemas.microsoft.com/office/drawing/2014/main" id="{00000000-0008-0000-0200-00004F270200}"/>
              </a:ext>
            </a:extLst>
          </xdr:cNvPr>
          <xdr:cNvSpPr/>
        </xdr:nvSpPr>
        <xdr:spPr>
          <a:xfrm>
            <a:off x="101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36" name="QRE">
            <a:extLst>
              <a:ext uri="{FF2B5EF4-FFF2-40B4-BE49-F238E27FC236}">
                <a16:creationId xmlns:a16="http://schemas.microsoft.com/office/drawing/2014/main" id="{00000000-0008-0000-0200-000050270200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37" name="QRE">
            <a:extLst>
              <a:ext uri="{FF2B5EF4-FFF2-40B4-BE49-F238E27FC236}">
                <a16:creationId xmlns:a16="http://schemas.microsoft.com/office/drawing/2014/main" id="{00000000-0008-0000-0200-000051270200}"/>
              </a:ext>
            </a:extLst>
          </xdr:cNvPr>
          <xdr:cNvSpPr/>
        </xdr:nvSpPr>
        <xdr:spPr>
          <a:xfrm>
            <a:off x="127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38" name="QRE">
            <a:extLst>
              <a:ext uri="{FF2B5EF4-FFF2-40B4-BE49-F238E27FC236}">
                <a16:creationId xmlns:a16="http://schemas.microsoft.com/office/drawing/2014/main" id="{00000000-0008-0000-0200-000052270200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39" name="QRE">
            <a:extLst>
              <a:ext uri="{FF2B5EF4-FFF2-40B4-BE49-F238E27FC236}">
                <a16:creationId xmlns:a16="http://schemas.microsoft.com/office/drawing/2014/main" id="{00000000-0008-0000-0200-000053270200}"/>
              </a:ext>
            </a:extLst>
          </xdr:cNvPr>
          <xdr:cNvSpPr/>
        </xdr:nvSpPr>
        <xdr:spPr>
          <a:xfrm>
            <a:off x="1778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40" name="QRE">
            <a:extLst>
              <a:ext uri="{FF2B5EF4-FFF2-40B4-BE49-F238E27FC236}">
                <a16:creationId xmlns:a16="http://schemas.microsoft.com/office/drawing/2014/main" id="{00000000-0008-0000-0200-000054270200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41" name="QRE">
            <a:extLst>
              <a:ext uri="{FF2B5EF4-FFF2-40B4-BE49-F238E27FC236}">
                <a16:creationId xmlns:a16="http://schemas.microsoft.com/office/drawing/2014/main" id="{00000000-0008-0000-0200-000055270200}"/>
              </a:ext>
            </a:extLst>
          </xdr:cNvPr>
          <xdr:cNvSpPr/>
        </xdr:nvSpPr>
        <xdr:spPr>
          <a:xfrm>
            <a:off x="2032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42" name="QRE">
            <a:extLst>
              <a:ext uri="{FF2B5EF4-FFF2-40B4-BE49-F238E27FC236}">
                <a16:creationId xmlns:a16="http://schemas.microsoft.com/office/drawing/2014/main" id="{00000000-0008-0000-0200-000056270200}"/>
              </a:ext>
            </a:extLst>
          </xdr:cNvPr>
          <xdr:cNvSpPr/>
        </xdr:nvSpPr>
        <xdr:spPr>
          <a:xfrm>
            <a:off x="2159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43" name="QRE">
            <a:extLst>
              <a:ext uri="{FF2B5EF4-FFF2-40B4-BE49-F238E27FC236}">
                <a16:creationId xmlns:a16="http://schemas.microsoft.com/office/drawing/2014/main" id="{00000000-0008-0000-0200-000057270200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44" name="QRE">
            <a:extLst>
              <a:ext uri="{FF2B5EF4-FFF2-40B4-BE49-F238E27FC236}">
                <a16:creationId xmlns:a16="http://schemas.microsoft.com/office/drawing/2014/main" id="{00000000-0008-0000-0200-000058270200}"/>
              </a:ext>
            </a:extLst>
          </xdr:cNvPr>
          <xdr:cNvSpPr/>
        </xdr:nvSpPr>
        <xdr:spPr>
          <a:xfrm>
            <a:off x="279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45" name="QRE">
            <a:extLst>
              <a:ext uri="{FF2B5EF4-FFF2-40B4-BE49-F238E27FC236}">
                <a16:creationId xmlns:a16="http://schemas.microsoft.com/office/drawing/2014/main" id="{00000000-0008-0000-0200-000059270200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46" name="QRE">
            <a:extLst>
              <a:ext uri="{FF2B5EF4-FFF2-40B4-BE49-F238E27FC236}">
                <a16:creationId xmlns:a16="http://schemas.microsoft.com/office/drawing/2014/main" id="{00000000-0008-0000-0200-00005A270200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47" name="QRE">
            <a:extLst>
              <a:ext uri="{FF2B5EF4-FFF2-40B4-BE49-F238E27FC236}">
                <a16:creationId xmlns:a16="http://schemas.microsoft.com/office/drawing/2014/main" id="{00000000-0008-0000-0200-00005B270200}"/>
              </a:ext>
            </a:extLst>
          </xdr:cNvPr>
          <xdr:cNvSpPr/>
        </xdr:nvSpPr>
        <xdr:spPr>
          <a:xfrm>
            <a:off x="393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48" name="QRE">
            <a:extLst>
              <a:ext uri="{FF2B5EF4-FFF2-40B4-BE49-F238E27FC236}">
                <a16:creationId xmlns:a16="http://schemas.microsoft.com/office/drawing/2014/main" id="{00000000-0008-0000-0200-00005C270200}"/>
              </a:ext>
            </a:extLst>
          </xdr:cNvPr>
          <xdr:cNvSpPr/>
        </xdr:nvSpPr>
        <xdr:spPr>
          <a:xfrm>
            <a:off x="406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49" name="QRE">
            <a:extLst>
              <a:ext uri="{FF2B5EF4-FFF2-40B4-BE49-F238E27FC236}">
                <a16:creationId xmlns:a16="http://schemas.microsoft.com/office/drawing/2014/main" id="{00000000-0008-0000-0200-00005D270200}"/>
              </a:ext>
            </a:extLst>
          </xdr:cNvPr>
          <xdr:cNvSpPr/>
        </xdr:nvSpPr>
        <xdr:spPr>
          <a:xfrm>
            <a:off x="4318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50" name="QRE">
            <a:extLst>
              <a:ext uri="{FF2B5EF4-FFF2-40B4-BE49-F238E27FC236}">
                <a16:creationId xmlns:a16="http://schemas.microsoft.com/office/drawing/2014/main" id="{00000000-0008-0000-0200-00005E270200}"/>
              </a:ext>
            </a:extLst>
          </xdr:cNvPr>
          <xdr:cNvSpPr/>
        </xdr:nvSpPr>
        <xdr:spPr>
          <a:xfrm>
            <a:off x="4445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51" name="QRE">
            <a:extLst>
              <a:ext uri="{FF2B5EF4-FFF2-40B4-BE49-F238E27FC236}">
                <a16:creationId xmlns:a16="http://schemas.microsoft.com/office/drawing/2014/main" id="{00000000-0008-0000-0200-00005F270200}"/>
              </a:ext>
            </a:extLst>
          </xdr:cNvPr>
          <xdr:cNvSpPr/>
        </xdr:nvSpPr>
        <xdr:spPr>
          <a:xfrm>
            <a:off x="12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52" name="QRE">
            <a:extLst>
              <a:ext uri="{FF2B5EF4-FFF2-40B4-BE49-F238E27FC236}">
                <a16:creationId xmlns:a16="http://schemas.microsoft.com/office/drawing/2014/main" id="{00000000-0008-0000-0200-000060270200}"/>
              </a:ext>
            </a:extLst>
          </xdr:cNvPr>
          <xdr:cNvSpPr/>
        </xdr:nvSpPr>
        <xdr:spPr>
          <a:xfrm>
            <a:off x="25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53" name="QRE">
            <a:extLst>
              <a:ext uri="{FF2B5EF4-FFF2-40B4-BE49-F238E27FC236}">
                <a16:creationId xmlns:a16="http://schemas.microsoft.com/office/drawing/2014/main" id="{00000000-0008-0000-0200-000061270200}"/>
              </a:ext>
            </a:extLst>
          </xdr:cNvPr>
          <xdr:cNvSpPr/>
        </xdr:nvSpPr>
        <xdr:spPr>
          <a:xfrm>
            <a:off x="381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54" name="QRE">
            <a:extLst>
              <a:ext uri="{FF2B5EF4-FFF2-40B4-BE49-F238E27FC236}">
                <a16:creationId xmlns:a16="http://schemas.microsoft.com/office/drawing/2014/main" id="{00000000-0008-0000-0200-000062270200}"/>
              </a:ext>
            </a:extLst>
          </xdr:cNvPr>
          <xdr:cNvSpPr/>
        </xdr:nvSpPr>
        <xdr:spPr>
          <a:xfrm>
            <a:off x="63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55" name="QRE">
            <a:extLst>
              <a:ext uri="{FF2B5EF4-FFF2-40B4-BE49-F238E27FC236}">
                <a16:creationId xmlns:a16="http://schemas.microsoft.com/office/drawing/2014/main" id="{00000000-0008-0000-0200-000063270200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56" name="QRE">
            <a:extLst>
              <a:ext uri="{FF2B5EF4-FFF2-40B4-BE49-F238E27FC236}">
                <a16:creationId xmlns:a16="http://schemas.microsoft.com/office/drawing/2014/main" id="{00000000-0008-0000-0200-000064270200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57" name="QRE">
            <a:extLst>
              <a:ext uri="{FF2B5EF4-FFF2-40B4-BE49-F238E27FC236}">
                <a16:creationId xmlns:a16="http://schemas.microsoft.com/office/drawing/2014/main" id="{00000000-0008-0000-0200-000065270200}"/>
              </a:ext>
            </a:extLst>
          </xdr:cNvPr>
          <xdr:cNvSpPr/>
        </xdr:nvSpPr>
        <xdr:spPr>
          <a:xfrm>
            <a:off x="1016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58" name="QRE">
            <a:extLst>
              <a:ext uri="{FF2B5EF4-FFF2-40B4-BE49-F238E27FC236}">
                <a16:creationId xmlns:a16="http://schemas.microsoft.com/office/drawing/2014/main" id="{00000000-0008-0000-0200-000066270200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59" name="QRE">
            <a:extLst>
              <a:ext uri="{FF2B5EF4-FFF2-40B4-BE49-F238E27FC236}">
                <a16:creationId xmlns:a16="http://schemas.microsoft.com/office/drawing/2014/main" id="{00000000-0008-0000-0200-000067270200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60" name="QRE">
            <a:extLst>
              <a:ext uri="{FF2B5EF4-FFF2-40B4-BE49-F238E27FC236}">
                <a16:creationId xmlns:a16="http://schemas.microsoft.com/office/drawing/2014/main" id="{00000000-0008-0000-0200-000068270200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61" name="QRE">
            <a:extLst>
              <a:ext uri="{FF2B5EF4-FFF2-40B4-BE49-F238E27FC236}">
                <a16:creationId xmlns:a16="http://schemas.microsoft.com/office/drawing/2014/main" id="{00000000-0008-0000-0200-000069270200}"/>
              </a:ext>
            </a:extLst>
          </xdr:cNvPr>
          <xdr:cNvSpPr/>
        </xdr:nvSpPr>
        <xdr:spPr>
          <a:xfrm>
            <a:off x="152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62" name="QRE">
            <a:extLst>
              <a:ext uri="{FF2B5EF4-FFF2-40B4-BE49-F238E27FC236}">
                <a16:creationId xmlns:a16="http://schemas.microsoft.com/office/drawing/2014/main" id="{00000000-0008-0000-0200-00006A270200}"/>
              </a:ext>
            </a:extLst>
          </xdr:cNvPr>
          <xdr:cNvSpPr/>
        </xdr:nvSpPr>
        <xdr:spPr>
          <a:xfrm>
            <a:off x="1651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63" name="QRE">
            <a:extLst>
              <a:ext uri="{FF2B5EF4-FFF2-40B4-BE49-F238E27FC236}">
                <a16:creationId xmlns:a16="http://schemas.microsoft.com/office/drawing/2014/main" id="{00000000-0008-0000-0200-00006B270200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64" name="QRE">
            <a:extLst>
              <a:ext uri="{FF2B5EF4-FFF2-40B4-BE49-F238E27FC236}">
                <a16:creationId xmlns:a16="http://schemas.microsoft.com/office/drawing/2014/main" id="{00000000-0008-0000-0200-00006C270200}"/>
              </a:ext>
            </a:extLst>
          </xdr:cNvPr>
          <xdr:cNvSpPr/>
        </xdr:nvSpPr>
        <xdr:spPr>
          <a:xfrm>
            <a:off x="2286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65" name="QRE">
            <a:extLst>
              <a:ext uri="{FF2B5EF4-FFF2-40B4-BE49-F238E27FC236}">
                <a16:creationId xmlns:a16="http://schemas.microsoft.com/office/drawing/2014/main" id="{00000000-0008-0000-0200-00006D270200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66" name="QRE">
            <a:extLst>
              <a:ext uri="{FF2B5EF4-FFF2-40B4-BE49-F238E27FC236}">
                <a16:creationId xmlns:a16="http://schemas.microsoft.com/office/drawing/2014/main" id="{00000000-0008-0000-0200-00006E270200}"/>
              </a:ext>
            </a:extLst>
          </xdr:cNvPr>
          <xdr:cNvSpPr/>
        </xdr:nvSpPr>
        <xdr:spPr>
          <a:xfrm>
            <a:off x="2921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67" name="QRE">
            <a:extLst>
              <a:ext uri="{FF2B5EF4-FFF2-40B4-BE49-F238E27FC236}">
                <a16:creationId xmlns:a16="http://schemas.microsoft.com/office/drawing/2014/main" id="{00000000-0008-0000-0200-00006F270200}"/>
              </a:ext>
            </a:extLst>
          </xdr:cNvPr>
          <xdr:cNvSpPr/>
        </xdr:nvSpPr>
        <xdr:spPr>
          <a:xfrm>
            <a:off x="3048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68" name="QRE">
            <a:extLst>
              <a:ext uri="{FF2B5EF4-FFF2-40B4-BE49-F238E27FC236}">
                <a16:creationId xmlns:a16="http://schemas.microsoft.com/office/drawing/2014/main" id="{00000000-0008-0000-0200-000070270200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69" name="QRE">
            <a:extLst>
              <a:ext uri="{FF2B5EF4-FFF2-40B4-BE49-F238E27FC236}">
                <a16:creationId xmlns:a16="http://schemas.microsoft.com/office/drawing/2014/main" id="{00000000-0008-0000-0200-000071270200}"/>
              </a:ext>
            </a:extLst>
          </xdr:cNvPr>
          <xdr:cNvSpPr/>
        </xdr:nvSpPr>
        <xdr:spPr>
          <a:xfrm>
            <a:off x="330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70" name="QRE">
            <a:extLst>
              <a:ext uri="{FF2B5EF4-FFF2-40B4-BE49-F238E27FC236}">
                <a16:creationId xmlns:a16="http://schemas.microsoft.com/office/drawing/2014/main" id="{00000000-0008-0000-0200-000072270200}"/>
              </a:ext>
            </a:extLst>
          </xdr:cNvPr>
          <xdr:cNvSpPr/>
        </xdr:nvSpPr>
        <xdr:spPr>
          <a:xfrm>
            <a:off x="381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71" name="QRE">
            <a:extLst>
              <a:ext uri="{FF2B5EF4-FFF2-40B4-BE49-F238E27FC236}">
                <a16:creationId xmlns:a16="http://schemas.microsoft.com/office/drawing/2014/main" id="{00000000-0008-0000-0200-000073270200}"/>
              </a:ext>
            </a:extLst>
          </xdr:cNvPr>
          <xdr:cNvSpPr/>
        </xdr:nvSpPr>
        <xdr:spPr>
          <a:xfrm>
            <a:off x="393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72" name="QRE">
            <a:extLst>
              <a:ext uri="{FF2B5EF4-FFF2-40B4-BE49-F238E27FC236}">
                <a16:creationId xmlns:a16="http://schemas.microsoft.com/office/drawing/2014/main" id="{00000000-0008-0000-0200-000074270200}"/>
              </a:ext>
            </a:extLst>
          </xdr:cNvPr>
          <xdr:cNvSpPr/>
        </xdr:nvSpPr>
        <xdr:spPr>
          <a:xfrm>
            <a:off x="4318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73" name="QRE">
            <a:extLst>
              <a:ext uri="{FF2B5EF4-FFF2-40B4-BE49-F238E27FC236}">
                <a16:creationId xmlns:a16="http://schemas.microsoft.com/office/drawing/2014/main" id="{00000000-0008-0000-0200-000075270200}"/>
              </a:ext>
            </a:extLst>
          </xdr:cNvPr>
          <xdr:cNvSpPr/>
        </xdr:nvSpPr>
        <xdr:spPr>
          <a:xfrm>
            <a:off x="457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74" name="QRE">
            <a:extLst>
              <a:ext uri="{FF2B5EF4-FFF2-40B4-BE49-F238E27FC236}">
                <a16:creationId xmlns:a16="http://schemas.microsoft.com/office/drawing/2014/main" id="{00000000-0008-0000-0200-000076270200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75" name="QRE">
            <a:extLst>
              <a:ext uri="{FF2B5EF4-FFF2-40B4-BE49-F238E27FC236}">
                <a16:creationId xmlns:a16="http://schemas.microsoft.com/office/drawing/2014/main" id="{00000000-0008-0000-0200-000077270200}"/>
              </a:ext>
            </a:extLst>
          </xdr:cNvPr>
          <xdr:cNvSpPr/>
        </xdr:nvSpPr>
        <xdr:spPr>
          <a:xfrm>
            <a:off x="12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76" name="QRE">
            <a:extLst>
              <a:ext uri="{FF2B5EF4-FFF2-40B4-BE49-F238E27FC236}">
                <a16:creationId xmlns:a16="http://schemas.microsoft.com/office/drawing/2014/main" id="{00000000-0008-0000-0200-000078270200}"/>
              </a:ext>
            </a:extLst>
          </xdr:cNvPr>
          <xdr:cNvSpPr/>
        </xdr:nvSpPr>
        <xdr:spPr>
          <a:xfrm>
            <a:off x="25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77" name="QRE">
            <a:extLst>
              <a:ext uri="{FF2B5EF4-FFF2-40B4-BE49-F238E27FC236}">
                <a16:creationId xmlns:a16="http://schemas.microsoft.com/office/drawing/2014/main" id="{00000000-0008-0000-0200-000079270200}"/>
              </a:ext>
            </a:extLst>
          </xdr:cNvPr>
          <xdr:cNvSpPr/>
        </xdr:nvSpPr>
        <xdr:spPr>
          <a:xfrm>
            <a:off x="38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78" name="QRE">
            <a:extLst>
              <a:ext uri="{FF2B5EF4-FFF2-40B4-BE49-F238E27FC236}">
                <a16:creationId xmlns:a16="http://schemas.microsoft.com/office/drawing/2014/main" id="{00000000-0008-0000-0200-00007A270200}"/>
              </a:ext>
            </a:extLst>
          </xdr:cNvPr>
          <xdr:cNvSpPr/>
        </xdr:nvSpPr>
        <xdr:spPr>
          <a:xfrm>
            <a:off x="63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79" name="QRE">
            <a:extLst>
              <a:ext uri="{FF2B5EF4-FFF2-40B4-BE49-F238E27FC236}">
                <a16:creationId xmlns:a16="http://schemas.microsoft.com/office/drawing/2014/main" id="{00000000-0008-0000-0200-00007B270200}"/>
              </a:ext>
            </a:extLst>
          </xdr:cNvPr>
          <xdr:cNvSpPr/>
        </xdr:nvSpPr>
        <xdr:spPr>
          <a:xfrm>
            <a:off x="1016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80" name="QRE">
            <a:extLst>
              <a:ext uri="{FF2B5EF4-FFF2-40B4-BE49-F238E27FC236}">
                <a16:creationId xmlns:a16="http://schemas.microsoft.com/office/drawing/2014/main" id="{00000000-0008-0000-0200-00007C270200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81" name="QRE">
            <a:extLst>
              <a:ext uri="{FF2B5EF4-FFF2-40B4-BE49-F238E27FC236}">
                <a16:creationId xmlns:a16="http://schemas.microsoft.com/office/drawing/2014/main" id="{00000000-0008-0000-0200-00007D270200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82" name="QRE">
            <a:extLst>
              <a:ext uri="{FF2B5EF4-FFF2-40B4-BE49-F238E27FC236}">
                <a16:creationId xmlns:a16="http://schemas.microsoft.com/office/drawing/2014/main" id="{00000000-0008-0000-0200-00007E270200}"/>
              </a:ext>
            </a:extLst>
          </xdr:cNvPr>
          <xdr:cNvSpPr/>
        </xdr:nvSpPr>
        <xdr:spPr>
          <a:xfrm>
            <a:off x="177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83" name="QRE">
            <a:extLst>
              <a:ext uri="{FF2B5EF4-FFF2-40B4-BE49-F238E27FC236}">
                <a16:creationId xmlns:a16="http://schemas.microsoft.com/office/drawing/2014/main" id="{00000000-0008-0000-0200-00007F270200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84" name="QRE">
            <a:extLst>
              <a:ext uri="{FF2B5EF4-FFF2-40B4-BE49-F238E27FC236}">
                <a16:creationId xmlns:a16="http://schemas.microsoft.com/office/drawing/2014/main" id="{00000000-0008-0000-0200-000080270200}"/>
              </a:ext>
            </a:extLst>
          </xdr:cNvPr>
          <xdr:cNvSpPr/>
        </xdr:nvSpPr>
        <xdr:spPr>
          <a:xfrm>
            <a:off x="2286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85" name="QRE">
            <a:extLst>
              <a:ext uri="{FF2B5EF4-FFF2-40B4-BE49-F238E27FC236}">
                <a16:creationId xmlns:a16="http://schemas.microsoft.com/office/drawing/2014/main" id="{00000000-0008-0000-0200-000081270200}"/>
              </a:ext>
            </a:extLst>
          </xdr:cNvPr>
          <xdr:cNvSpPr/>
        </xdr:nvSpPr>
        <xdr:spPr>
          <a:xfrm>
            <a:off x="2413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86" name="QRE">
            <a:extLst>
              <a:ext uri="{FF2B5EF4-FFF2-40B4-BE49-F238E27FC236}">
                <a16:creationId xmlns:a16="http://schemas.microsoft.com/office/drawing/2014/main" id="{00000000-0008-0000-0200-000082270200}"/>
              </a:ext>
            </a:extLst>
          </xdr:cNvPr>
          <xdr:cNvSpPr/>
        </xdr:nvSpPr>
        <xdr:spPr>
          <a:xfrm>
            <a:off x="254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87" name="QRE">
            <a:extLst>
              <a:ext uri="{FF2B5EF4-FFF2-40B4-BE49-F238E27FC236}">
                <a16:creationId xmlns:a16="http://schemas.microsoft.com/office/drawing/2014/main" id="{00000000-0008-0000-0200-000083270200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88" name="QRE">
            <a:extLst>
              <a:ext uri="{FF2B5EF4-FFF2-40B4-BE49-F238E27FC236}">
                <a16:creationId xmlns:a16="http://schemas.microsoft.com/office/drawing/2014/main" id="{00000000-0008-0000-0200-000084270200}"/>
              </a:ext>
            </a:extLst>
          </xdr:cNvPr>
          <xdr:cNvSpPr/>
        </xdr:nvSpPr>
        <xdr:spPr>
          <a:xfrm>
            <a:off x="292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89" name="QRE">
            <a:extLst>
              <a:ext uri="{FF2B5EF4-FFF2-40B4-BE49-F238E27FC236}">
                <a16:creationId xmlns:a16="http://schemas.microsoft.com/office/drawing/2014/main" id="{00000000-0008-0000-0200-000085270200}"/>
              </a:ext>
            </a:extLst>
          </xdr:cNvPr>
          <xdr:cNvSpPr/>
        </xdr:nvSpPr>
        <xdr:spPr>
          <a:xfrm>
            <a:off x="304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90" name="QRE">
            <a:extLst>
              <a:ext uri="{FF2B5EF4-FFF2-40B4-BE49-F238E27FC236}">
                <a16:creationId xmlns:a16="http://schemas.microsoft.com/office/drawing/2014/main" id="{00000000-0008-0000-0200-000086270200}"/>
              </a:ext>
            </a:extLst>
          </xdr:cNvPr>
          <xdr:cNvSpPr/>
        </xdr:nvSpPr>
        <xdr:spPr>
          <a:xfrm>
            <a:off x="3429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91" name="QRE">
            <a:extLst>
              <a:ext uri="{FF2B5EF4-FFF2-40B4-BE49-F238E27FC236}">
                <a16:creationId xmlns:a16="http://schemas.microsoft.com/office/drawing/2014/main" id="{00000000-0008-0000-0200-000087270200}"/>
              </a:ext>
            </a:extLst>
          </xdr:cNvPr>
          <xdr:cNvSpPr/>
        </xdr:nvSpPr>
        <xdr:spPr>
          <a:xfrm>
            <a:off x="3556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92" name="QRE">
            <a:extLst>
              <a:ext uri="{FF2B5EF4-FFF2-40B4-BE49-F238E27FC236}">
                <a16:creationId xmlns:a16="http://schemas.microsoft.com/office/drawing/2014/main" id="{00000000-0008-0000-0200-000088270200}"/>
              </a:ext>
            </a:extLst>
          </xdr:cNvPr>
          <xdr:cNvSpPr/>
        </xdr:nvSpPr>
        <xdr:spPr>
          <a:xfrm>
            <a:off x="3683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93" name="QRE">
            <a:extLst>
              <a:ext uri="{FF2B5EF4-FFF2-40B4-BE49-F238E27FC236}">
                <a16:creationId xmlns:a16="http://schemas.microsoft.com/office/drawing/2014/main" id="{00000000-0008-0000-0200-000089270200}"/>
              </a:ext>
            </a:extLst>
          </xdr:cNvPr>
          <xdr:cNvSpPr/>
        </xdr:nvSpPr>
        <xdr:spPr>
          <a:xfrm>
            <a:off x="393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94" name="QRE">
            <a:extLst>
              <a:ext uri="{FF2B5EF4-FFF2-40B4-BE49-F238E27FC236}">
                <a16:creationId xmlns:a16="http://schemas.microsoft.com/office/drawing/2014/main" id="{00000000-0008-0000-0200-00008A270200}"/>
              </a:ext>
            </a:extLst>
          </xdr:cNvPr>
          <xdr:cNvSpPr/>
        </xdr:nvSpPr>
        <xdr:spPr>
          <a:xfrm>
            <a:off x="406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95" name="QRE">
            <a:extLst>
              <a:ext uri="{FF2B5EF4-FFF2-40B4-BE49-F238E27FC236}">
                <a16:creationId xmlns:a16="http://schemas.microsoft.com/office/drawing/2014/main" id="{00000000-0008-0000-0200-00008B270200}"/>
              </a:ext>
            </a:extLst>
          </xdr:cNvPr>
          <xdr:cNvSpPr/>
        </xdr:nvSpPr>
        <xdr:spPr>
          <a:xfrm>
            <a:off x="419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96" name="QRE">
            <a:extLst>
              <a:ext uri="{FF2B5EF4-FFF2-40B4-BE49-F238E27FC236}">
                <a16:creationId xmlns:a16="http://schemas.microsoft.com/office/drawing/2014/main" id="{00000000-0008-0000-0200-00008C270200}"/>
              </a:ext>
            </a:extLst>
          </xdr:cNvPr>
          <xdr:cNvSpPr/>
        </xdr:nvSpPr>
        <xdr:spPr>
          <a:xfrm>
            <a:off x="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97" name="QRE">
            <a:extLst>
              <a:ext uri="{FF2B5EF4-FFF2-40B4-BE49-F238E27FC236}">
                <a16:creationId xmlns:a16="http://schemas.microsoft.com/office/drawing/2014/main" id="{00000000-0008-0000-0200-00008D270200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98" name="QRE">
            <a:extLst>
              <a:ext uri="{FF2B5EF4-FFF2-40B4-BE49-F238E27FC236}">
                <a16:creationId xmlns:a16="http://schemas.microsoft.com/office/drawing/2014/main" id="{00000000-0008-0000-0200-00008E270200}"/>
              </a:ext>
            </a:extLst>
          </xdr:cNvPr>
          <xdr:cNvSpPr/>
        </xdr:nvSpPr>
        <xdr:spPr>
          <a:xfrm>
            <a:off x="38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99" name="QRE">
            <a:extLst>
              <a:ext uri="{FF2B5EF4-FFF2-40B4-BE49-F238E27FC236}">
                <a16:creationId xmlns:a16="http://schemas.microsoft.com/office/drawing/2014/main" id="{00000000-0008-0000-0200-00008F270200}"/>
              </a:ext>
            </a:extLst>
          </xdr:cNvPr>
          <xdr:cNvSpPr/>
        </xdr:nvSpPr>
        <xdr:spPr>
          <a:xfrm>
            <a:off x="50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00" name="QRE">
            <a:extLst>
              <a:ext uri="{FF2B5EF4-FFF2-40B4-BE49-F238E27FC236}">
                <a16:creationId xmlns:a16="http://schemas.microsoft.com/office/drawing/2014/main" id="{00000000-0008-0000-0200-000090270200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01" name="QRE">
            <a:extLst>
              <a:ext uri="{FF2B5EF4-FFF2-40B4-BE49-F238E27FC236}">
                <a16:creationId xmlns:a16="http://schemas.microsoft.com/office/drawing/2014/main" id="{00000000-0008-0000-0200-000091270200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02" name="QRE">
            <a:extLst>
              <a:ext uri="{FF2B5EF4-FFF2-40B4-BE49-F238E27FC236}">
                <a16:creationId xmlns:a16="http://schemas.microsoft.com/office/drawing/2014/main" id="{00000000-0008-0000-0200-000092270200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03" name="QRE">
            <a:extLst>
              <a:ext uri="{FF2B5EF4-FFF2-40B4-BE49-F238E27FC236}">
                <a16:creationId xmlns:a16="http://schemas.microsoft.com/office/drawing/2014/main" id="{00000000-0008-0000-0200-000093270200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04" name="QRE">
            <a:extLst>
              <a:ext uri="{FF2B5EF4-FFF2-40B4-BE49-F238E27FC236}">
                <a16:creationId xmlns:a16="http://schemas.microsoft.com/office/drawing/2014/main" id="{00000000-0008-0000-0200-000094270200}"/>
              </a:ext>
            </a:extLst>
          </xdr:cNvPr>
          <xdr:cNvSpPr/>
        </xdr:nvSpPr>
        <xdr:spPr>
          <a:xfrm>
            <a:off x="152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05" name="QRE">
            <a:extLst>
              <a:ext uri="{FF2B5EF4-FFF2-40B4-BE49-F238E27FC236}">
                <a16:creationId xmlns:a16="http://schemas.microsoft.com/office/drawing/2014/main" id="{00000000-0008-0000-0200-000095270200}"/>
              </a:ext>
            </a:extLst>
          </xdr:cNvPr>
          <xdr:cNvSpPr/>
        </xdr:nvSpPr>
        <xdr:spPr>
          <a:xfrm>
            <a:off x="165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06" name="QRE">
            <a:extLst>
              <a:ext uri="{FF2B5EF4-FFF2-40B4-BE49-F238E27FC236}">
                <a16:creationId xmlns:a16="http://schemas.microsoft.com/office/drawing/2014/main" id="{00000000-0008-0000-0200-000096270200}"/>
              </a:ext>
            </a:extLst>
          </xdr:cNvPr>
          <xdr:cNvSpPr/>
        </xdr:nvSpPr>
        <xdr:spPr>
          <a:xfrm>
            <a:off x="177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07" name="QRE">
            <a:extLst>
              <a:ext uri="{FF2B5EF4-FFF2-40B4-BE49-F238E27FC236}">
                <a16:creationId xmlns:a16="http://schemas.microsoft.com/office/drawing/2014/main" id="{00000000-0008-0000-0200-000097270200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08" name="QRE">
            <a:extLst>
              <a:ext uri="{FF2B5EF4-FFF2-40B4-BE49-F238E27FC236}">
                <a16:creationId xmlns:a16="http://schemas.microsoft.com/office/drawing/2014/main" id="{00000000-0008-0000-0200-000098270200}"/>
              </a:ext>
            </a:extLst>
          </xdr:cNvPr>
          <xdr:cNvSpPr/>
        </xdr:nvSpPr>
        <xdr:spPr>
          <a:xfrm>
            <a:off x="203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09" name="QRE">
            <a:extLst>
              <a:ext uri="{FF2B5EF4-FFF2-40B4-BE49-F238E27FC236}">
                <a16:creationId xmlns:a16="http://schemas.microsoft.com/office/drawing/2014/main" id="{00000000-0008-0000-0200-000099270200}"/>
              </a:ext>
            </a:extLst>
          </xdr:cNvPr>
          <xdr:cNvSpPr/>
        </xdr:nvSpPr>
        <xdr:spPr>
          <a:xfrm>
            <a:off x="2286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10" name="QRE">
            <a:extLst>
              <a:ext uri="{FF2B5EF4-FFF2-40B4-BE49-F238E27FC236}">
                <a16:creationId xmlns:a16="http://schemas.microsoft.com/office/drawing/2014/main" id="{00000000-0008-0000-0200-00009A270200}"/>
              </a:ext>
            </a:extLst>
          </xdr:cNvPr>
          <xdr:cNvSpPr/>
        </xdr:nvSpPr>
        <xdr:spPr>
          <a:xfrm>
            <a:off x="241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11" name="QRE">
            <a:extLst>
              <a:ext uri="{FF2B5EF4-FFF2-40B4-BE49-F238E27FC236}">
                <a16:creationId xmlns:a16="http://schemas.microsoft.com/office/drawing/2014/main" id="{00000000-0008-0000-0200-00009B270200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12" name="QRE">
            <a:extLst>
              <a:ext uri="{FF2B5EF4-FFF2-40B4-BE49-F238E27FC236}">
                <a16:creationId xmlns:a16="http://schemas.microsoft.com/office/drawing/2014/main" id="{00000000-0008-0000-0200-00009C270200}"/>
              </a:ext>
            </a:extLst>
          </xdr:cNvPr>
          <xdr:cNvSpPr/>
        </xdr:nvSpPr>
        <xdr:spPr>
          <a:xfrm>
            <a:off x="2667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13" name="QRE">
            <a:extLst>
              <a:ext uri="{FF2B5EF4-FFF2-40B4-BE49-F238E27FC236}">
                <a16:creationId xmlns:a16="http://schemas.microsoft.com/office/drawing/2014/main" id="{00000000-0008-0000-0200-00009D270200}"/>
              </a:ext>
            </a:extLst>
          </xdr:cNvPr>
          <xdr:cNvSpPr/>
        </xdr:nvSpPr>
        <xdr:spPr>
          <a:xfrm>
            <a:off x="279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14" name="QRE">
            <a:extLst>
              <a:ext uri="{FF2B5EF4-FFF2-40B4-BE49-F238E27FC236}">
                <a16:creationId xmlns:a16="http://schemas.microsoft.com/office/drawing/2014/main" id="{00000000-0008-0000-0200-00009E270200}"/>
              </a:ext>
            </a:extLst>
          </xdr:cNvPr>
          <xdr:cNvSpPr/>
        </xdr:nvSpPr>
        <xdr:spPr>
          <a:xfrm>
            <a:off x="317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15" name="QRE">
            <a:extLst>
              <a:ext uri="{FF2B5EF4-FFF2-40B4-BE49-F238E27FC236}">
                <a16:creationId xmlns:a16="http://schemas.microsoft.com/office/drawing/2014/main" id="{00000000-0008-0000-0200-00009F270200}"/>
              </a:ext>
            </a:extLst>
          </xdr:cNvPr>
          <xdr:cNvSpPr/>
        </xdr:nvSpPr>
        <xdr:spPr>
          <a:xfrm>
            <a:off x="342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16" name="QRE">
            <a:extLst>
              <a:ext uri="{FF2B5EF4-FFF2-40B4-BE49-F238E27FC236}">
                <a16:creationId xmlns:a16="http://schemas.microsoft.com/office/drawing/2014/main" id="{00000000-0008-0000-0200-0000A0270200}"/>
              </a:ext>
            </a:extLst>
          </xdr:cNvPr>
          <xdr:cNvSpPr/>
        </xdr:nvSpPr>
        <xdr:spPr>
          <a:xfrm>
            <a:off x="406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17" name="QRE">
            <a:extLst>
              <a:ext uri="{FF2B5EF4-FFF2-40B4-BE49-F238E27FC236}">
                <a16:creationId xmlns:a16="http://schemas.microsoft.com/office/drawing/2014/main" id="{00000000-0008-0000-0200-0000A1270200}"/>
              </a:ext>
            </a:extLst>
          </xdr:cNvPr>
          <xdr:cNvSpPr/>
        </xdr:nvSpPr>
        <xdr:spPr>
          <a:xfrm>
            <a:off x="457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18" name="QRE">
            <a:extLst>
              <a:ext uri="{FF2B5EF4-FFF2-40B4-BE49-F238E27FC236}">
                <a16:creationId xmlns:a16="http://schemas.microsoft.com/office/drawing/2014/main" id="{00000000-0008-0000-0200-0000A2270200}"/>
              </a:ext>
            </a:extLst>
          </xdr:cNvPr>
          <xdr:cNvSpPr/>
        </xdr:nvSpPr>
        <xdr:spPr>
          <a:xfrm>
            <a:off x="1143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19" name="QRE">
            <a:extLst>
              <a:ext uri="{FF2B5EF4-FFF2-40B4-BE49-F238E27FC236}">
                <a16:creationId xmlns:a16="http://schemas.microsoft.com/office/drawing/2014/main" id="{00000000-0008-0000-0200-0000A3270200}"/>
              </a:ext>
            </a:extLst>
          </xdr:cNvPr>
          <xdr:cNvSpPr/>
        </xdr:nvSpPr>
        <xdr:spPr>
          <a:xfrm>
            <a:off x="2540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20" name="QRE">
            <a:extLst>
              <a:ext uri="{FF2B5EF4-FFF2-40B4-BE49-F238E27FC236}">
                <a16:creationId xmlns:a16="http://schemas.microsoft.com/office/drawing/2014/main" id="{00000000-0008-0000-0200-0000A4270200}"/>
              </a:ext>
            </a:extLst>
          </xdr:cNvPr>
          <xdr:cNvSpPr/>
        </xdr:nvSpPr>
        <xdr:spPr>
          <a:xfrm>
            <a:off x="2667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21" name="QRE">
            <a:extLst>
              <a:ext uri="{FF2B5EF4-FFF2-40B4-BE49-F238E27FC236}">
                <a16:creationId xmlns:a16="http://schemas.microsoft.com/office/drawing/2014/main" id="{00000000-0008-0000-0200-0000A5270200}"/>
              </a:ext>
            </a:extLst>
          </xdr:cNvPr>
          <xdr:cNvSpPr/>
        </xdr:nvSpPr>
        <xdr:spPr>
          <a:xfrm>
            <a:off x="292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22" name="QRE">
            <a:extLst>
              <a:ext uri="{FF2B5EF4-FFF2-40B4-BE49-F238E27FC236}">
                <a16:creationId xmlns:a16="http://schemas.microsoft.com/office/drawing/2014/main" id="{00000000-0008-0000-0200-0000A6270200}"/>
              </a:ext>
            </a:extLst>
          </xdr:cNvPr>
          <xdr:cNvSpPr/>
        </xdr:nvSpPr>
        <xdr:spPr>
          <a:xfrm>
            <a:off x="3048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23" name="QRE">
            <a:extLst>
              <a:ext uri="{FF2B5EF4-FFF2-40B4-BE49-F238E27FC236}">
                <a16:creationId xmlns:a16="http://schemas.microsoft.com/office/drawing/2014/main" id="{00000000-0008-0000-0200-0000A7270200}"/>
              </a:ext>
            </a:extLst>
          </xdr:cNvPr>
          <xdr:cNvSpPr/>
        </xdr:nvSpPr>
        <xdr:spPr>
          <a:xfrm>
            <a:off x="3556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24" name="QRE">
            <a:extLst>
              <a:ext uri="{FF2B5EF4-FFF2-40B4-BE49-F238E27FC236}">
                <a16:creationId xmlns:a16="http://schemas.microsoft.com/office/drawing/2014/main" id="{00000000-0008-0000-0200-0000A8270200}"/>
              </a:ext>
            </a:extLst>
          </xdr:cNvPr>
          <xdr:cNvSpPr/>
        </xdr:nvSpPr>
        <xdr:spPr>
          <a:xfrm>
            <a:off x="3683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25" name="QRE">
            <a:extLst>
              <a:ext uri="{FF2B5EF4-FFF2-40B4-BE49-F238E27FC236}">
                <a16:creationId xmlns:a16="http://schemas.microsoft.com/office/drawing/2014/main" id="{00000000-0008-0000-0200-0000A9270200}"/>
              </a:ext>
            </a:extLst>
          </xdr:cNvPr>
          <xdr:cNvSpPr/>
        </xdr:nvSpPr>
        <xdr:spPr>
          <a:xfrm>
            <a:off x="3937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26" name="QRE">
            <a:extLst>
              <a:ext uri="{FF2B5EF4-FFF2-40B4-BE49-F238E27FC236}">
                <a16:creationId xmlns:a16="http://schemas.microsoft.com/office/drawing/2014/main" id="{00000000-0008-0000-0200-0000AA270200}"/>
              </a:ext>
            </a:extLst>
          </xdr:cNvPr>
          <xdr:cNvSpPr/>
        </xdr:nvSpPr>
        <xdr:spPr>
          <a:xfrm>
            <a:off x="4064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27" name="QRE">
            <a:extLst>
              <a:ext uri="{FF2B5EF4-FFF2-40B4-BE49-F238E27FC236}">
                <a16:creationId xmlns:a16="http://schemas.microsoft.com/office/drawing/2014/main" id="{00000000-0008-0000-0200-0000AB270200}"/>
              </a:ext>
            </a:extLst>
          </xdr:cNvPr>
          <xdr:cNvSpPr/>
        </xdr:nvSpPr>
        <xdr:spPr>
          <a:xfrm>
            <a:off x="4318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28" name="QRE">
            <a:extLst>
              <a:ext uri="{FF2B5EF4-FFF2-40B4-BE49-F238E27FC236}">
                <a16:creationId xmlns:a16="http://schemas.microsoft.com/office/drawing/2014/main" id="{00000000-0008-0000-0200-0000AC270200}"/>
              </a:ext>
            </a:extLst>
          </xdr:cNvPr>
          <xdr:cNvSpPr/>
        </xdr:nvSpPr>
        <xdr:spPr>
          <a:xfrm>
            <a:off x="4445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29" name="QRE">
            <a:extLst>
              <a:ext uri="{FF2B5EF4-FFF2-40B4-BE49-F238E27FC236}">
                <a16:creationId xmlns:a16="http://schemas.microsoft.com/office/drawing/2014/main" id="{00000000-0008-0000-0200-0000AD270200}"/>
              </a:ext>
            </a:extLst>
          </xdr:cNvPr>
          <xdr:cNvSpPr/>
        </xdr:nvSpPr>
        <xdr:spPr>
          <a:xfrm>
            <a:off x="25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30" name="QRE">
            <a:extLst>
              <a:ext uri="{FF2B5EF4-FFF2-40B4-BE49-F238E27FC236}">
                <a16:creationId xmlns:a16="http://schemas.microsoft.com/office/drawing/2014/main" id="{00000000-0008-0000-0200-0000AE270200}"/>
              </a:ext>
            </a:extLst>
          </xdr:cNvPr>
          <xdr:cNvSpPr/>
        </xdr:nvSpPr>
        <xdr:spPr>
          <a:xfrm>
            <a:off x="508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31" name="QRE">
            <a:extLst>
              <a:ext uri="{FF2B5EF4-FFF2-40B4-BE49-F238E27FC236}">
                <a16:creationId xmlns:a16="http://schemas.microsoft.com/office/drawing/2014/main" id="{00000000-0008-0000-0200-0000AF270200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32" name="QRE">
            <a:extLst>
              <a:ext uri="{FF2B5EF4-FFF2-40B4-BE49-F238E27FC236}">
                <a16:creationId xmlns:a16="http://schemas.microsoft.com/office/drawing/2014/main" id="{00000000-0008-0000-0200-0000B0270200}"/>
              </a:ext>
            </a:extLst>
          </xdr:cNvPr>
          <xdr:cNvSpPr/>
        </xdr:nvSpPr>
        <xdr:spPr>
          <a:xfrm>
            <a:off x="889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33" name="QRE">
            <a:extLst>
              <a:ext uri="{FF2B5EF4-FFF2-40B4-BE49-F238E27FC236}">
                <a16:creationId xmlns:a16="http://schemas.microsoft.com/office/drawing/2014/main" id="{00000000-0008-0000-0200-0000B1270200}"/>
              </a:ext>
            </a:extLst>
          </xdr:cNvPr>
          <xdr:cNvSpPr/>
        </xdr:nvSpPr>
        <xdr:spPr>
          <a:xfrm>
            <a:off x="139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34" name="QRE">
            <a:extLst>
              <a:ext uri="{FF2B5EF4-FFF2-40B4-BE49-F238E27FC236}">
                <a16:creationId xmlns:a16="http://schemas.microsoft.com/office/drawing/2014/main" id="{00000000-0008-0000-0200-0000B2270200}"/>
              </a:ext>
            </a:extLst>
          </xdr:cNvPr>
          <xdr:cNvSpPr/>
        </xdr:nvSpPr>
        <xdr:spPr>
          <a:xfrm>
            <a:off x="1778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35" name="QRE">
            <a:extLst>
              <a:ext uri="{FF2B5EF4-FFF2-40B4-BE49-F238E27FC236}">
                <a16:creationId xmlns:a16="http://schemas.microsoft.com/office/drawing/2014/main" id="{00000000-0008-0000-0200-0000B3270200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36" name="QRE">
            <a:extLst>
              <a:ext uri="{FF2B5EF4-FFF2-40B4-BE49-F238E27FC236}">
                <a16:creationId xmlns:a16="http://schemas.microsoft.com/office/drawing/2014/main" id="{00000000-0008-0000-0200-0000B4270200}"/>
              </a:ext>
            </a:extLst>
          </xdr:cNvPr>
          <xdr:cNvSpPr/>
        </xdr:nvSpPr>
        <xdr:spPr>
          <a:xfrm>
            <a:off x="266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37" name="QRE">
            <a:extLst>
              <a:ext uri="{FF2B5EF4-FFF2-40B4-BE49-F238E27FC236}">
                <a16:creationId xmlns:a16="http://schemas.microsoft.com/office/drawing/2014/main" id="{00000000-0008-0000-0200-0000B5270200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38" name="QRE">
            <a:extLst>
              <a:ext uri="{FF2B5EF4-FFF2-40B4-BE49-F238E27FC236}">
                <a16:creationId xmlns:a16="http://schemas.microsoft.com/office/drawing/2014/main" id="{00000000-0008-0000-0200-0000B6270200}"/>
              </a:ext>
            </a:extLst>
          </xdr:cNvPr>
          <xdr:cNvSpPr/>
        </xdr:nvSpPr>
        <xdr:spPr>
          <a:xfrm>
            <a:off x="3048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39" name="QRE">
            <a:extLst>
              <a:ext uri="{FF2B5EF4-FFF2-40B4-BE49-F238E27FC236}">
                <a16:creationId xmlns:a16="http://schemas.microsoft.com/office/drawing/2014/main" id="{00000000-0008-0000-0200-0000B7270200}"/>
              </a:ext>
            </a:extLst>
          </xdr:cNvPr>
          <xdr:cNvSpPr/>
        </xdr:nvSpPr>
        <xdr:spPr>
          <a:xfrm>
            <a:off x="317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40" name="QRE">
            <a:extLst>
              <a:ext uri="{FF2B5EF4-FFF2-40B4-BE49-F238E27FC236}">
                <a16:creationId xmlns:a16="http://schemas.microsoft.com/office/drawing/2014/main" id="{00000000-0008-0000-0200-0000B8270200}"/>
              </a:ext>
            </a:extLst>
          </xdr:cNvPr>
          <xdr:cNvSpPr/>
        </xdr:nvSpPr>
        <xdr:spPr>
          <a:xfrm>
            <a:off x="393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41" name="QRE">
            <a:extLst>
              <a:ext uri="{FF2B5EF4-FFF2-40B4-BE49-F238E27FC236}">
                <a16:creationId xmlns:a16="http://schemas.microsoft.com/office/drawing/2014/main" id="{00000000-0008-0000-0200-0000B9270200}"/>
              </a:ext>
            </a:extLst>
          </xdr:cNvPr>
          <xdr:cNvSpPr/>
        </xdr:nvSpPr>
        <xdr:spPr>
          <a:xfrm>
            <a:off x="4318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42" name="QRE">
            <a:extLst>
              <a:ext uri="{FF2B5EF4-FFF2-40B4-BE49-F238E27FC236}">
                <a16:creationId xmlns:a16="http://schemas.microsoft.com/office/drawing/2014/main" id="{00000000-0008-0000-0200-0000BA270200}"/>
              </a:ext>
            </a:extLst>
          </xdr:cNvPr>
          <xdr:cNvSpPr/>
        </xdr:nvSpPr>
        <xdr:spPr>
          <a:xfrm>
            <a:off x="444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43" name="QRE">
            <a:extLst>
              <a:ext uri="{FF2B5EF4-FFF2-40B4-BE49-F238E27FC236}">
                <a16:creationId xmlns:a16="http://schemas.microsoft.com/office/drawing/2014/main" id="{00000000-0008-0000-0200-0000BB270200}"/>
              </a:ext>
            </a:extLst>
          </xdr:cNvPr>
          <xdr:cNvSpPr/>
        </xdr:nvSpPr>
        <xdr:spPr>
          <a:xfrm>
            <a:off x="457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44" name="QRE">
            <a:extLst>
              <a:ext uri="{FF2B5EF4-FFF2-40B4-BE49-F238E27FC236}">
                <a16:creationId xmlns:a16="http://schemas.microsoft.com/office/drawing/2014/main" id="{00000000-0008-0000-0200-0000BC270200}"/>
              </a:ext>
            </a:extLst>
          </xdr:cNvPr>
          <xdr:cNvSpPr/>
        </xdr:nvSpPr>
        <xdr:spPr>
          <a:xfrm>
            <a:off x="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45" name="QRE">
            <a:extLst>
              <a:ext uri="{FF2B5EF4-FFF2-40B4-BE49-F238E27FC236}">
                <a16:creationId xmlns:a16="http://schemas.microsoft.com/office/drawing/2014/main" id="{00000000-0008-0000-0200-0000BD270200}"/>
              </a:ext>
            </a:extLst>
          </xdr:cNvPr>
          <xdr:cNvSpPr/>
        </xdr:nvSpPr>
        <xdr:spPr>
          <a:xfrm>
            <a:off x="254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46" name="QRE">
            <a:extLst>
              <a:ext uri="{FF2B5EF4-FFF2-40B4-BE49-F238E27FC236}">
                <a16:creationId xmlns:a16="http://schemas.microsoft.com/office/drawing/2014/main" id="{00000000-0008-0000-0200-0000BE270200}"/>
              </a:ext>
            </a:extLst>
          </xdr:cNvPr>
          <xdr:cNvSpPr/>
        </xdr:nvSpPr>
        <xdr:spPr>
          <a:xfrm>
            <a:off x="50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47" name="QRE">
            <a:extLst>
              <a:ext uri="{FF2B5EF4-FFF2-40B4-BE49-F238E27FC236}">
                <a16:creationId xmlns:a16="http://schemas.microsoft.com/office/drawing/2014/main" id="{00000000-0008-0000-0200-0000BF270200}"/>
              </a:ext>
            </a:extLst>
          </xdr:cNvPr>
          <xdr:cNvSpPr/>
        </xdr:nvSpPr>
        <xdr:spPr>
          <a:xfrm>
            <a:off x="63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48" name="QRE">
            <a:extLst>
              <a:ext uri="{FF2B5EF4-FFF2-40B4-BE49-F238E27FC236}">
                <a16:creationId xmlns:a16="http://schemas.microsoft.com/office/drawing/2014/main" id="{00000000-0008-0000-0200-0000C0270200}"/>
              </a:ext>
            </a:extLst>
          </xdr:cNvPr>
          <xdr:cNvSpPr/>
        </xdr:nvSpPr>
        <xdr:spPr>
          <a:xfrm>
            <a:off x="889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49" name="QRE">
            <a:extLst>
              <a:ext uri="{FF2B5EF4-FFF2-40B4-BE49-F238E27FC236}">
                <a16:creationId xmlns:a16="http://schemas.microsoft.com/office/drawing/2014/main" id="{00000000-0008-0000-0200-0000C1270200}"/>
              </a:ext>
            </a:extLst>
          </xdr:cNvPr>
          <xdr:cNvSpPr/>
        </xdr:nvSpPr>
        <xdr:spPr>
          <a:xfrm>
            <a:off x="1143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50" name="QRE">
            <a:extLst>
              <a:ext uri="{FF2B5EF4-FFF2-40B4-BE49-F238E27FC236}">
                <a16:creationId xmlns:a16="http://schemas.microsoft.com/office/drawing/2014/main" id="{00000000-0008-0000-0200-0000C2270200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51" name="QRE">
            <a:extLst>
              <a:ext uri="{FF2B5EF4-FFF2-40B4-BE49-F238E27FC236}">
                <a16:creationId xmlns:a16="http://schemas.microsoft.com/office/drawing/2014/main" id="{00000000-0008-0000-0200-0000C3270200}"/>
              </a:ext>
            </a:extLst>
          </xdr:cNvPr>
          <xdr:cNvSpPr/>
        </xdr:nvSpPr>
        <xdr:spPr>
          <a:xfrm>
            <a:off x="2032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52" name="QRE">
            <a:extLst>
              <a:ext uri="{FF2B5EF4-FFF2-40B4-BE49-F238E27FC236}">
                <a16:creationId xmlns:a16="http://schemas.microsoft.com/office/drawing/2014/main" id="{00000000-0008-0000-0200-0000C4270200}"/>
              </a:ext>
            </a:extLst>
          </xdr:cNvPr>
          <xdr:cNvSpPr/>
        </xdr:nvSpPr>
        <xdr:spPr>
          <a:xfrm>
            <a:off x="2159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53" name="QRE">
            <a:extLst>
              <a:ext uri="{FF2B5EF4-FFF2-40B4-BE49-F238E27FC236}">
                <a16:creationId xmlns:a16="http://schemas.microsoft.com/office/drawing/2014/main" id="{00000000-0008-0000-0200-0000C5270200}"/>
              </a:ext>
            </a:extLst>
          </xdr:cNvPr>
          <xdr:cNvSpPr/>
        </xdr:nvSpPr>
        <xdr:spPr>
          <a:xfrm>
            <a:off x="2286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54" name="QRE">
            <a:extLst>
              <a:ext uri="{FF2B5EF4-FFF2-40B4-BE49-F238E27FC236}">
                <a16:creationId xmlns:a16="http://schemas.microsoft.com/office/drawing/2014/main" id="{00000000-0008-0000-0200-0000C6270200}"/>
              </a:ext>
            </a:extLst>
          </xdr:cNvPr>
          <xdr:cNvSpPr/>
        </xdr:nvSpPr>
        <xdr:spPr>
          <a:xfrm>
            <a:off x="2413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55" name="QRE">
            <a:extLst>
              <a:ext uri="{FF2B5EF4-FFF2-40B4-BE49-F238E27FC236}">
                <a16:creationId xmlns:a16="http://schemas.microsoft.com/office/drawing/2014/main" id="{00000000-0008-0000-0200-0000C7270200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56" name="QRE">
            <a:extLst>
              <a:ext uri="{FF2B5EF4-FFF2-40B4-BE49-F238E27FC236}">
                <a16:creationId xmlns:a16="http://schemas.microsoft.com/office/drawing/2014/main" id="{00000000-0008-0000-0200-0000C8270200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57" name="QRE">
            <a:extLst>
              <a:ext uri="{FF2B5EF4-FFF2-40B4-BE49-F238E27FC236}">
                <a16:creationId xmlns:a16="http://schemas.microsoft.com/office/drawing/2014/main" id="{00000000-0008-0000-0200-0000C9270200}"/>
              </a:ext>
            </a:extLst>
          </xdr:cNvPr>
          <xdr:cNvSpPr/>
        </xdr:nvSpPr>
        <xdr:spPr>
          <a:xfrm>
            <a:off x="2794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58" name="QRE">
            <a:extLst>
              <a:ext uri="{FF2B5EF4-FFF2-40B4-BE49-F238E27FC236}">
                <a16:creationId xmlns:a16="http://schemas.microsoft.com/office/drawing/2014/main" id="{00000000-0008-0000-0200-0000CA270200}"/>
              </a:ext>
            </a:extLst>
          </xdr:cNvPr>
          <xdr:cNvSpPr/>
        </xdr:nvSpPr>
        <xdr:spPr>
          <a:xfrm>
            <a:off x="317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59" name="QRE">
            <a:extLst>
              <a:ext uri="{FF2B5EF4-FFF2-40B4-BE49-F238E27FC236}">
                <a16:creationId xmlns:a16="http://schemas.microsoft.com/office/drawing/2014/main" id="{00000000-0008-0000-0200-0000CB270200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60" name="QRE">
            <a:extLst>
              <a:ext uri="{FF2B5EF4-FFF2-40B4-BE49-F238E27FC236}">
                <a16:creationId xmlns:a16="http://schemas.microsoft.com/office/drawing/2014/main" id="{00000000-0008-0000-0200-0000CC270200}"/>
              </a:ext>
            </a:extLst>
          </xdr:cNvPr>
          <xdr:cNvSpPr/>
        </xdr:nvSpPr>
        <xdr:spPr>
          <a:xfrm>
            <a:off x="3810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61" name="QRE">
            <a:extLst>
              <a:ext uri="{FF2B5EF4-FFF2-40B4-BE49-F238E27FC236}">
                <a16:creationId xmlns:a16="http://schemas.microsoft.com/office/drawing/2014/main" id="{00000000-0008-0000-0200-0000CD270200}"/>
              </a:ext>
            </a:extLst>
          </xdr:cNvPr>
          <xdr:cNvSpPr/>
        </xdr:nvSpPr>
        <xdr:spPr>
          <a:xfrm>
            <a:off x="4191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62" name="QRE">
            <a:extLst>
              <a:ext uri="{FF2B5EF4-FFF2-40B4-BE49-F238E27FC236}">
                <a16:creationId xmlns:a16="http://schemas.microsoft.com/office/drawing/2014/main" id="{00000000-0008-0000-0200-0000CE270200}"/>
              </a:ext>
            </a:extLst>
          </xdr:cNvPr>
          <xdr:cNvSpPr/>
        </xdr:nvSpPr>
        <xdr:spPr>
          <a:xfrm>
            <a:off x="444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63" name="QRE">
            <a:extLst>
              <a:ext uri="{FF2B5EF4-FFF2-40B4-BE49-F238E27FC236}">
                <a16:creationId xmlns:a16="http://schemas.microsoft.com/office/drawing/2014/main" id="{00000000-0008-0000-0200-0000CF270200}"/>
              </a:ext>
            </a:extLst>
          </xdr:cNvPr>
          <xdr:cNvSpPr/>
        </xdr:nvSpPr>
        <xdr:spPr>
          <a:xfrm>
            <a:off x="4572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64" name="QRE">
            <a:extLst>
              <a:ext uri="{FF2B5EF4-FFF2-40B4-BE49-F238E27FC236}">
                <a16:creationId xmlns:a16="http://schemas.microsoft.com/office/drawing/2014/main" id="{00000000-0008-0000-0200-0000D0270200}"/>
              </a:ext>
            </a:extLst>
          </xdr:cNvPr>
          <xdr:cNvSpPr/>
        </xdr:nvSpPr>
        <xdr:spPr>
          <a:xfrm>
            <a:off x="25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65" name="QRE">
            <a:extLst>
              <a:ext uri="{FF2B5EF4-FFF2-40B4-BE49-F238E27FC236}">
                <a16:creationId xmlns:a16="http://schemas.microsoft.com/office/drawing/2014/main" id="{00000000-0008-0000-0200-0000D1270200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66" name="QRE">
            <a:extLst>
              <a:ext uri="{FF2B5EF4-FFF2-40B4-BE49-F238E27FC236}">
                <a16:creationId xmlns:a16="http://schemas.microsoft.com/office/drawing/2014/main" id="{00000000-0008-0000-0200-0000D2270200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67" name="QRE">
            <a:extLst>
              <a:ext uri="{FF2B5EF4-FFF2-40B4-BE49-F238E27FC236}">
                <a16:creationId xmlns:a16="http://schemas.microsoft.com/office/drawing/2014/main" id="{00000000-0008-0000-0200-0000D3270200}"/>
              </a:ext>
            </a:extLst>
          </xdr:cNvPr>
          <xdr:cNvSpPr/>
        </xdr:nvSpPr>
        <xdr:spPr>
          <a:xfrm>
            <a:off x="1016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68" name="QRE">
            <a:extLst>
              <a:ext uri="{FF2B5EF4-FFF2-40B4-BE49-F238E27FC236}">
                <a16:creationId xmlns:a16="http://schemas.microsoft.com/office/drawing/2014/main" id="{00000000-0008-0000-0200-0000D4270200}"/>
              </a:ext>
            </a:extLst>
          </xdr:cNvPr>
          <xdr:cNvSpPr/>
        </xdr:nvSpPr>
        <xdr:spPr>
          <a:xfrm>
            <a:off x="1270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69" name="QRE">
            <a:extLst>
              <a:ext uri="{FF2B5EF4-FFF2-40B4-BE49-F238E27FC236}">
                <a16:creationId xmlns:a16="http://schemas.microsoft.com/office/drawing/2014/main" id="{00000000-0008-0000-0200-0000D5270200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70" name="QRE">
            <a:extLst>
              <a:ext uri="{FF2B5EF4-FFF2-40B4-BE49-F238E27FC236}">
                <a16:creationId xmlns:a16="http://schemas.microsoft.com/office/drawing/2014/main" id="{00000000-0008-0000-0200-0000D6270200}"/>
              </a:ext>
            </a:extLst>
          </xdr:cNvPr>
          <xdr:cNvSpPr/>
        </xdr:nvSpPr>
        <xdr:spPr>
          <a:xfrm>
            <a:off x="203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71" name="QRE">
            <a:extLst>
              <a:ext uri="{FF2B5EF4-FFF2-40B4-BE49-F238E27FC236}">
                <a16:creationId xmlns:a16="http://schemas.microsoft.com/office/drawing/2014/main" id="{00000000-0008-0000-0200-0000D7270200}"/>
              </a:ext>
            </a:extLst>
          </xdr:cNvPr>
          <xdr:cNvSpPr/>
        </xdr:nvSpPr>
        <xdr:spPr>
          <a:xfrm>
            <a:off x="2413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72" name="QRE">
            <a:extLst>
              <a:ext uri="{FF2B5EF4-FFF2-40B4-BE49-F238E27FC236}">
                <a16:creationId xmlns:a16="http://schemas.microsoft.com/office/drawing/2014/main" id="{00000000-0008-0000-0200-0000D8270200}"/>
              </a:ext>
            </a:extLst>
          </xdr:cNvPr>
          <xdr:cNvSpPr/>
        </xdr:nvSpPr>
        <xdr:spPr>
          <a:xfrm>
            <a:off x="2540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73" name="QRE">
            <a:extLst>
              <a:ext uri="{FF2B5EF4-FFF2-40B4-BE49-F238E27FC236}">
                <a16:creationId xmlns:a16="http://schemas.microsoft.com/office/drawing/2014/main" id="{00000000-0008-0000-0200-0000D9270200}"/>
              </a:ext>
            </a:extLst>
          </xdr:cNvPr>
          <xdr:cNvSpPr/>
        </xdr:nvSpPr>
        <xdr:spPr>
          <a:xfrm>
            <a:off x="2667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74" name="QRE">
            <a:extLst>
              <a:ext uri="{FF2B5EF4-FFF2-40B4-BE49-F238E27FC236}">
                <a16:creationId xmlns:a16="http://schemas.microsoft.com/office/drawing/2014/main" id="{00000000-0008-0000-0200-0000DA270200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75" name="QRE">
            <a:extLst>
              <a:ext uri="{FF2B5EF4-FFF2-40B4-BE49-F238E27FC236}">
                <a16:creationId xmlns:a16="http://schemas.microsoft.com/office/drawing/2014/main" id="{00000000-0008-0000-0200-0000DB270200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76" name="QRE">
            <a:extLst>
              <a:ext uri="{FF2B5EF4-FFF2-40B4-BE49-F238E27FC236}">
                <a16:creationId xmlns:a16="http://schemas.microsoft.com/office/drawing/2014/main" id="{00000000-0008-0000-0200-0000DC270200}"/>
              </a:ext>
            </a:extLst>
          </xdr:cNvPr>
          <xdr:cNvSpPr/>
        </xdr:nvSpPr>
        <xdr:spPr>
          <a:xfrm>
            <a:off x="3937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77" name="QRE">
            <a:extLst>
              <a:ext uri="{FF2B5EF4-FFF2-40B4-BE49-F238E27FC236}">
                <a16:creationId xmlns:a16="http://schemas.microsoft.com/office/drawing/2014/main" id="{00000000-0008-0000-0200-0000DD270200}"/>
              </a:ext>
            </a:extLst>
          </xdr:cNvPr>
          <xdr:cNvSpPr/>
        </xdr:nvSpPr>
        <xdr:spPr>
          <a:xfrm>
            <a:off x="406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78" name="QRE">
            <a:extLst>
              <a:ext uri="{FF2B5EF4-FFF2-40B4-BE49-F238E27FC236}">
                <a16:creationId xmlns:a16="http://schemas.microsoft.com/office/drawing/2014/main" id="{00000000-0008-0000-0200-0000DE270200}"/>
              </a:ext>
            </a:extLst>
          </xdr:cNvPr>
          <xdr:cNvSpPr/>
        </xdr:nvSpPr>
        <xdr:spPr>
          <a:xfrm>
            <a:off x="12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79" name="QRE">
            <a:extLst>
              <a:ext uri="{FF2B5EF4-FFF2-40B4-BE49-F238E27FC236}">
                <a16:creationId xmlns:a16="http://schemas.microsoft.com/office/drawing/2014/main" id="{00000000-0008-0000-0200-0000DF270200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80" name="QRE">
            <a:extLst>
              <a:ext uri="{FF2B5EF4-FFF2-40B4-BE49-F238E27FC236}">
                <a16:creationId xmlns:a16="http://schemas.microsoft.com/office/drawing/2014/main" id="{00000000-0008-0000-0200-0000E0270200}"/>
              </a:ext>
            </a:extLst>
          </xdr:cNvPr>
          <xdr:cNvSpPr/>
        </xdr:nvSpPr>
        <xdr:spPr>
          <a:xfrm>
            <a:off x="38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81" name="QRE">
            <a:extLst>
              <a:ext uri="{FF2B5EF4-FFF2-40B4-BE49-F238E27FC236}">
                <a16:creationId xmlns:a16="http://schemas.microsoft.com/office/drawing/2014/main" id="{00000000-0008-0000-0200-0000E1270200}"/>
              </a:ext>
            </a:extLst>
          </xdr:cNvPr>
          <xdr:cNvSpPr/>
        </xdr:nvSpPr>
        <xdr:spPr>
          <a:xfrm>
            <a:off x="1270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82" name="QRE">
            <a:extLst>
              <a:ext uri="{FF2B5EF4-FFF2-40B4-BE49-F238E27FC236}">
                <a16:creationId xmlns:a16="http://schemas.microsoft.com/office/drawing/2014/main" id="{00000000-0008-0000-0200-0000E2270200}"/>
              </a:ext>
            </a:extLst>
          </xdr:cNvPr>
          <xdr:cNvSpPr/>
        </xdr:nvSpPr>
        <xdr:spPr>
          <a:xfrm>
            <a:off x="139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83" name="QRE">
            <a:extLst>
              <a:ext uri="{FF2B5EF4-FFF2-40B4-BE49-F238E27FC236}">
                <a16:creationId xmlns:a16="http://schemas.microsoft.com/office/drawing/2014/main" id="{00000000-0008-0000-0200-0000E3270200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84" name="QRE">
            <a:extLst>
              <a:ext uri="{FF2B5EF4-FFF2-40B4-BE49-F238E27FC236}">
                <a16:creationId xmlns:a16="http://schemas.microsoft.com/office/drawing/2014/main" id="{00000000-0008-0000-0200-0000E4270200}"/>
              </a:ext>
            </a:extLst>
          </xdr:cNvPr>
          <xdr:cNvSpPr/>
        </xdr:nvSpPr>
        <xdr:spPr>
          <a:xfrm>
            <a:off x="1905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85" name="QRE">
            <a:extLst>
              <a:ext uri="{FF2B5EF4-FFF2-40B4-BE49-F238E27FC236}">
                <a16:creationId xmlns:a16="http://schemas.microsoft.com/office/drawing/2014/main" id="{00000000-0008-0000-0200-0000E5270200}"/>
              </a:ext>
            </a:extLst>
          </xdr:cNvPr>
          <xdr:cNvSpPr/>
        </xdr:nvSpPr>
        <xdr:spPr>
          <a:xfrm>
            <a:off x="2159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86" name="QRE">
            <a:extLst>
              <a:ext uri="{FF2B5EF4-FFF2-40B4-BE49-F238E27FC236}">
                <a16:creationId xmlns:a16="http://schemas.microsoft.com/office/drawing/2014/main" id="{00000000-0008-0000-0200-0000E6270200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87" name="QRE">
            <a:extLst>
              <a:ext uri="{FF2B5EF4-FFF2-40B4-BE49-F238E27FC236}">
                <a16:creationId xmlns:a16="http://schemas.microsoft.com/office/drawing/2014/main" id="{00000000-0008-0000-0200-0000E7270200}"/>
              </a:ext>
            </a:extLst>
          </xdr:cNvPr>
          <xdr:cNvSpPr/>
        </xdr:nvSpPr>
        <xdr:spPr>
          <a:xfrm>
            <a:off x="3048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88" name="QRE">
            <a:extLst>
              <a:ext uri="{FF2B5EF4-FFF2-40B4-BE49-F238E27FC236}">
                <a16:creationId xmlns:a16="http://schemas.microsoft.com/office/drawing/2014/main" id="{00000000-0008-0000-0200-0000E8270200}"/>
              </a:ext>
            </a:extLst>
          </xdr:cNvPr>
          <xdr:cNvSpPr/>
        </xdr:nvSpPr>
        <xdr:spPr>
          <a:xfrm>
            <a:off x="3175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89" name="QRE">
            <a:extLst>
              <a:ext uri="{FF2B5EF4-FFF2-40B4-BE49-F238E27FC236}">
                <a16:creationId xmlns:a16="http://schemas.microsoft.com/office/drawing/2014/main" id="{00000000-0008-0000-0200-0000E9270200}"/>
              </a:ext>
            </a:extLst>
          </xdr:cNvPr>
          <xdr:cNvSpPr/>
        </xdr:nvSpPr>
        <xdr:spPr>
          <a:xfrm>
            <a:off x="3556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90" name="QRE">
            <a:extLst>
              <a:ext uri="{FF2B5EF4-FFF2-40B4-BE49-F238E27FC236}">
                <a16:creationId xmlns:a16="http://schemas.microsoft.com/office/drawing/2014/main" id="{00000000-0008-0000-0200-0000EA270200}"/>
              </a:ext>
            </a:extLst>
          </xdr:cNvPr>
          <xdr:cNvSpPr/>
        </xdr:nvSpPr>
        <xdr:spPr>
          <a:xfrm>
            <a:off x="393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91" name="QRE">
            <a:extLst>
              <a:ext uri="{FF2B5EF4-FFF2-40B4-BE49-F238E27FC236}">
                <a16:creationId xmlns:a16="http://schemas.microsoft.com/office/drawing/2014/main" id="{00000000-0008-0000-0200-0000EB270200}"/>
              </a:ext>
            </a:extLst>
          </xdr:cNvPr>
          <xdr:cNvSpPr/>
        </xdr:nvSpPr>
        <xdr:spPr>
          <a:xfrm>
            <a:off x="406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92" name="QRE">
            <a:extLst>
              <a:ext uri="{FF2B5EF4-FFF2-40B4-BE49-F238E27FC236}">
                <a16:creationId xmlns:a16="http://schemas.microsoft.com/office/drawing/2014/main" id="{00000000-0008-0000-0200-0000EC270200}"/>
              </a:ext>
            </a:extLst>
          </xdr:cNvPr>
          <xdr:cNvSpPr/>
        </xdr:nvSpPr>
        <xdr:spPr>
          <a:xfrm>
            <a:off x="419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93" name="QRE">
            <a:extLst>
              <a:ext uri="{FF2B5EF4-FFF2-40B4-BE49-F238E27FC236}">
                <a16:creationId xmlns:a16="http://schemas.microsoft.com/office/drawing/2014/main" id="{00000000-0008-0000-0200-0000ED270200}"/>
              </a:ext>
            </a:extLst>
          </xdr:cNvPr>
          <xdr:cNvSpPr/>
        </xdr:nvSpPr>
        <xdr:spPr>
          <a:xfrm>
            <a:off x="50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94" name="QRE">
            <a:extLst>
              <a:ext uri="{FF2B5EF4-FFF2-40B4-BE49-F238E27FC236}">
                <a16:creationId xmlns:a16="http://schemas.microsoft.com/office/drawing/2014/main" id="{00000000-0008-0000-0200-0000EE27020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95" name="QRE">
            <a:extLst>
              <a:ext uri="{FF2B5EF4-FFF2-40B4-BE49-F238E27FC236}">
                <a16:creationId xmlns:a16="http://schemas.microsoft.com/office/drawing/2014/main" id="{00000000-0008-0000-0200-0000EF270200}"/>
              </a:ext>
            </a:extLst>
          </xdr:cNvPr>
          <xdr:cNvSpPr/>
        </xdr:nvSpPr>
        <xdr:spPr>
          <a:xfrm>
            <a:off x="88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96" name="QRE">
            <a:extLst>
              <a:ext uri="{FF2B5EF4-FFF2-40B4-BE49-F238E27FC236}">
                <a16:creationId xmlns:a16="http://schemas.microsoft.com/office/drawing/2014/main" id="{00000000-0008-0000-0200-0000F0270200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97" name="QRE">
            <a:extLst>
              <a:ext uri="{FF2B5EF4-FFF2-40B4-BE49-F238E27FC236}">
                <a16:creationId xmlns:a16="http://schemas.microsoft.com/office/drawing/2014/main" id="{00000000-0008-0000-0200-0000F1270200}"/>
              </a:ext>
            </a:extLst>
          </xdr:cNvPr>
          <xdr:cNvSpPr/>
        </xdr:nvSpPr>
        <xdr:spPr>
          <a:xfrm>
            <a:off x="1270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98" name="QRE">
            <a:extLst>
              <a:ext uri="{FF2B5EF4-FFF2-40B4-BE49-F238E27FC236}">
                <a16:creationId xmlns:a16="http://schemas.microsoft.com/office/drawing/2014/main" id="{00000000-0008-0000-0200-0000F2270200}"/>
              </a:ext>
            </a:extLst>
          </xdr:cNvPr>
          <xdr:cNvSpPr/>
        </xdr:nvSpPr>
        <xdr:spPr>
          <a:xfrm>
            <a:off x="1651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99" name="QRE">
            <a:extLst>
              <a:ext uri="{FF2B5EF4-FFF2-40B4-BE49-F238E27FC236}">
                <a16:creationId xmlns:a16="http://schemas.microsoft.com/office/drawing/2014/main" id="{00000000-0008-0000-0200-0000F3270200}"/>
              </a:ext>
            </a:extLst>
          </xdr:cNvPr>
          <xdr:cNvSpPr/>
        </xdr:nvSpPr>
        <xdr:spPr>
          <a:xfrm>
            <a:off x="215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00" name="QRE">
            <a:extLst>
              <a:ext uri="{FF2B5EF4-FFF2-40B4-BE49-F238E27FC236}">
                <a16:creationId xmlns:a16="http://schemas.microsoft.com/office/drawing/2014/main" id="{00000000-0008-0000-0200-0000F4270200}"/>
              </a:ext>
            </a:extLst>
          </xdr:cNvPr>
          <xdr:cNvSpPr/>
        </xdr:nvSpPr>
        <xdr:spPr>
          <a:xfrm>
            <a:off x="2540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01" name="QRE">
            <a:extLst>
              <a:ext uri="{FF2B5EF4-FFF2-40B4-BE49-F238E27FC236}">
                <a16:creationId xmlns:a16="http://schemas.microsoft.com/office/drawing/2014/main" id="{00000000-0008-0000-0200-0000F5270200}"/>
              </a:ext>
            </a:extLst>
          </xdr:cNvPr>
          <xdr:cNvSpPr/>
        </xdr:nvSpPr>
        <xdr:spPr>
          <a:xfrm>
            <a:off x="2794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02" name="QRE">
            <a:extLst>
              <a:ext uri="{FF2B5EF4-FFF2-40B4-BE49-F238E27FC236}">
                <a16:creationId xmlns:a16="http://schemas.microsoft.com/office/drawing/2014/main" id="{00000000-0008-0000-0200-0000F6270200}"/>
              </a:ext>
            </a:extLst>
          </xdr:cNvPr>
          <xdr:cNvSpPr/>
        </xdr:nvSpPr>
        <xdr:spPr>
          <a:xfrm>
            <a:off x="304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03" name="QRE">
            <a:extLst>
              <a:ext uri="{FF2B5EF4-FFF2-40B4-BE49-F238E27FC236}">
                <a16:creationId xmlns:a16="http://schemas.microsoft.com/office/drawing/2014/main" id="{00000000-0008-0000-0200-0000F7270200}"/>
              </a:ext>
            </a:extLst>
          </xdr:cNvPr>
          <xdr:cNvSpPr/>
        </xdr:nvSpPr>
        <xdr:spPr>
          <a:xfrm>
            <a:off x="342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04" name="QRE">
            <a:extLst>
              <a:ext uri="{FF2B5EF4-FFF2-40B4-BE49-F238E27FC236}">
                <a16:creationId xmlns:a16="http://schemas.microsoft.com/office/drawing/2014/main" id="{00000000-0008-0000-0200-0000F8270200}"/>
              </a:ext>
            </a:extLst>
          </xdr:cNvPr>
          <xdr:cNvSpPr/>
        </xdr:nvSpPr>
        <xdr:spPr>
          <a:xfrm>
            <a:off x="355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05" name="QRE">
            <a:extLst>
              <a:ext uri="{FF2B5EF4-FFF2-40B4-BE49-F238E27FC236}">
                <a16:creationId xmlns:a16="http://schemas.microsoft.com/office/drawing/2014/main" id="{00000000-0008-0000-0200-0000F9270200}"/>
              </a:ext>
            </a:extLst>
          </xdr:cNvPr>
          <xdr:cNvSpPr/>
        </xdr:nvSpPr>
        <xdr:spPr>
          <a:xfrm>
            <a:off x="3810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06" name="QRE">
            <a:extLst>
              <a:ext uri="{FF2B5EF4-FFF2-40B4-BE49-F238E27FC236}">
                <a16:creationId xmlns:a16="http://schemas.microsoft.com/office/drawing/2014/main" id="{00000000-0008-0000-0200-0000FA270200}"/>
              </a:ext>
            </a:extLst>
          </xdr:cNvPr>
          <xdr:cNvSpPr/>
        </xdr:nvSpPr>
        <xdr:spPr>
          <a:xfrm>
            <a:off x="4064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07" name="QRE">
            <a:extLst>
              <a:ext uri="{FF2B5EF4-FFF2-40B4-BE49-F238E27FC236}">
                <a16:creationId xmlns:a16="http://schemas.microsoft.com/office/drawing/2014/main" id="{00000000-0008-0000-0200-0000FB270200}"/>
              </a:ext>
            </a:extLst>
          </xdr:cNvPr>
          <xdr:cNvSpPr/>
        </xdr:nvSpPr>
        <xdr:spPr>
          <a:xfrm>
            <a:off x="431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08" name="QRE">
            <a:extLst>
              <a:ext uri="{FF2B5EF4-FFF2-40B4-BE49-F238E27FC236}">
                <a16:creationId xmlns:a16="http://schemas.microsoft.com/office/drawing/2014/main" id="{00000000-0008-0000-0200-0000FC270200}"/>
              </a:ext>
            </a:extLst>
          </xdr:cNvPr>
          <xdr:cNvSpPr/>
        </xdr:nvSpPr>
        <xdr:spPr>
          <a:xfrm>
            <a:off x="457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09" name="QRE">
            <a:extLst>
              <a:ext uri="{FF2B5EF4-FFF2-40B4-BE49-F238E27FC236}">
                <a16:creationId xmlns:a16="http://schemas.microsoft.com/office/drawing/2014/main" id="{00000000-0008-0000-0200-0000FD270200}"/>
              </a:ext>
            </a:extLst>
          </xdr:cNvPr>
          <xdr:cNvSpPr/>
        </xdr:nvSpPr>
        <xdr:spPr>
          <a:xfrm>
            <a:off x="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10" name="QRE">
            <a:extLst>
              <a:ext uri="{FF2B5EF4-FFF2-40B4-BE49-F238E27FC236}">
                <a16:creationId xmlns:a16="http://schemas.microsoft.com/office/drawing/2014/main" id="{00000000-0008-0000-0200-0000FE270200}"/>
              </a:ext>
            </a:extLst>
          </xdr:cNvPr>
          <xdr:cNvSpPr/>
        </xdr:nvSpPr>
        <xdr:spPr>
          <a:xfrm>
            <a:off x="508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11" name="QRE">
            <a:extLst>
              <a:ext uri="{FF2B5EF4-FFF2-40B4-BE49-F238E27FC236}">
                <a16:creationId xmlns:a16="http://schemas.microsoft.com/office/drawing/2014/main" id="{00000000-0008-0000-0200-0000FF270200}"/>
              </a:ext>
            </a:extLst>
          </xdr:cNvPr>
          <xdr:cNvSpPr/>
        </xdr:nvSpPr>
        <xdr:spPr>
          <a:xfrm>
            <a:off x="889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12" name="QRE">
            <a:extLst>
              <a:ext uri="{FF2B5EF4-FFF2-40B4-BE49-F238E27FC236}">
                <a16:creationId xmlns:a16="http://schemas.microsoft.com/office/drawing/2014/main" id="{00000000-0008-0000-0200-000000280200}"/>
              </a:ext>
            </a:extLst>
          </xdr:cNvPr>
          <xdr:cNvSpPr/>
        </xdr:nvSpPr>
        <xdr:spPr>
          <a:xfrm>
            <a:off x="1016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13" name="QRE">
            <a:extLst>
              <a:ext uri="{FF2B5EF4-FFF2-40B4-BE49-F238E27FC236}">
                <a16:creationId xmlns:a16="http://schemas.microsoft.com/office/drawing/2014/main" id="{00000000-0008-0000-0200-000001280200}"/>
              </a:ext>
            </a:extLst>
          </xdr:cNvPr>
          <xdr:cNvSpPr/>
        </xdr:nvSpPr>
        <xdr:spPr>
          <a:xfrm>
            <a:off x="152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14" name="QRE">
            <a:extLst>
              <a:ext uri="{FF2B5EF4-FFF2-40B4-BE49-F238E27FC236}">
                <a16:creationId xmlns:a16="http://schemas.microsoft.com/office/drawing/2014/main" id="{00000000-0008-0000-0200-000002280200}"/>
              </a:ext>
            </a:extLst>
          </xdr:cNvPr>
          <xdr:cNvSpPr/>
        </xdr:nvSpPr>
        <xdr:spPr>
          <a:xfrm>
            <a:off x="1651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15" name="QRE">
            <a:extLst>
              <a:ext uri="{FF2B5EF4-FFF2-40B4-BE49-F238E27FC236}">
                <a16:creationId xmlns:a16="http://schemas.microsoft.com/office/drawing/2014/main" id="{00000000-0008-0000-0200-000003280200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16" name="QRE">
            <a:extLst>
              <a:ext uri="{FF2B5EF4-FFF2-40B4-BE49-F238E27FC236}">
                <a16:creationId xmlns:a16="http://schemas.microsoft.com/office/drawing/2014/main" id="{00000000-0008-0000-0200-000004280200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17" name="QRE">
            <a:extLst>
              <a:ext uri="{FF2B5EF4-FFF2-40B4-BE49-F238E27FC236}">
                <a16:creationId xmlns:a16="http://schemas.microsoft.com/office/drawing/2014/main" id="{00000000-0008-0000-0200-000005280200}"/>
              </a:ext>
            </a:extLst>
          </xdr:cNvPr>
          <xdr:cNvSpPr/>
        </xdr:nvSpPr>
        <xdr:spPr>
          <a:xfrm>
            <a:off x="2159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18" name="QRE">
            <a:extLst>
              <a:ext uri="{FF2B5EF4-FFF2-40B4-BE49-F238E27FC236}">
                <a16:creationId xmlns:a16="http://schemas.microsoft.com/office/drawing/2014/main" id="{00000000-0008-0000-0200-000006280200}"/>
              </a:ext>
            </a:extLst>
          </xdr:cNvPr>
          <xdr:cNvSpPr/>
        </xdr:nvSpPr>
        <xdr:spPr>
          <a:xfrm>
            <a:off x="2413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19" name="QRE">
            <a:extLst>
              <a:ext uri="{FF2B5EF4-FFF2-40B4-BE49-F238E27FC236}">
                <a16:creationId xmlns:a16="http://schemas.microsoft.com/office/drawing/2014/main" id="{00000000-0008-0000-0200-000007280200}"/>
              </a:ext>
            </a:extLst>
          </xdr:cNvPr>
          <xdr:cNvSpPr/>
        </xdr:nvSpPr>
        <xdr:spPr>
          <a:xfrm>
            <a:off x="266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20" name="QRE">
            <a:extLst>
              <a:ext uri="{FF2B5EF4-FFF2-40B4-BE49-F238E27FC236}">
                <a16:creationId xmlns:a16="http://schemas.microsoft.com/office/drawing/2014/main" id="{00000000-0008-0000-0200-000008280200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21" name="QRE">
            <a:extLst>
              <a:ext uri="{FF2B5EF4-FFF2-40B4-BE49-F238E27FC236}">
                <a16:creationId xmlns:a16="http://schemas.microsoft.com/office/drawing/2014/main" id="{00000000-0008-0000-0200-000009280200}"/>
              </a:ext>
            </a:extLst>
          </xdr:cNvPr>
          <xdr:cNvSpPr/>
        </xdr:nvSpPr>
        <xdr:spPr>
          <a:xfrm>
            <a:off x="3175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22" name="QRE">
            <a:extLst>
              <a:ext uri="{FF2B5EF4-FFF2-40B4-BE49-F238E27FC236}">
                <a16:creationId xmlns:a16="http://schemas.microsoft.com/office/drawing/2014/main" id="{00000000-0008-0000-0200-00000A280200}"/>
              </a:ext>
            </a:extLst>
          </xdr:cNvPr>
          <xdr:cNvSpPr/>
        </xdr:nvSpPr>
        <xdr:spPr>
          <a:xfrm>
            <a:off x="3683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23" name="QRE">
            <a:extLst>
              <a:ext uri="{FF2B5EF4-FFF2-40B4-BE49-F238E27FC236}">
                <a16:creationId xmlns:a16="http://schemas.microsoft.com/office/drawing/2014/main" id="{00000000-0008-0000-0200-00000B280200}"/>
              </a:ext>
            </a:extLst>
          </xdr:cNvPr>
          <xdr:cNvSpPr/>
        </xdr:nvSpPr>
        <xdr:spPr>
          <a:xfrm>
            <a:off x="406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24" name="QRE">
            <a:extLst>
              <a:ext uri="{FF2B5EF4-FFF2-40B4-BE49-F238E27FC236}">
                <a16:creationId xmlns:a16="http://schemas.microsoft.com/office/drawing/2014/main" id="{00000000-0008-0000-0200-00000C280200}"/>
              </a:ext>
            </a:extLst>
          </xdr:cNvPr>
          <xdr:cNvSpPr/>
        </xdr:nvSpPr>
        <xdr:spPr>
          <a:xfrm>
            <a:off x="4318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25" name="QRE">
            <a:extLst>
              <a:ext uri="{FF2B5EF4-FFF2-40B4-BE49-F238E27FC236}">
                <a16:creationId xmlns:a16="http://schemas.microsoft.com/office/drawing/2014/main" id="{00000000-0008-0000-0200-00000D280200}"/>
              </a:ext>
            </a:extLst>
          </xdr:cNvPr>
          <xdr:cNvSpPr/>
        </xdr:nvSpPr>
        <xdr:spPr>
          <a:xfrm>
            <a:off x="4445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26" name="QRE">
            <a:extLst>
              <a:ext uri="{FF2B5EF4-FFF2-40B4-BE49-F238E27FC236}">
                <a16:creationId xmlns:a16="http://schemas.microsoft.com/office/drawing/2014/main" id="{00000000-0008-0000-0200-00000E280200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27" name="QRE">
            <a:extLst>
              <a:ext uri="{FF2B5EF4-FFF2-40B4-BE49-F238E27FC236}">
                <a16:creationId xmlns:a16="http://schemas.microsoft.com/office/drawing/2014/main" id="{00000000-0008-0000-0200-00000F280200}"/>
              </a:ext>
            </a:extLst>
          </xdr:cNvPr>
          <xdr:cNvSpPr/>
        </xdr:nvSpPr>
        <xdr:spPr>
          <a:xfrm>
            <a:off x="127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28" name="QRE">
            <a:extLst>
              <a:ext uri="{FF2B5EF4-FFF2-40B4-BE49-F238E27FC236}">
                <a16:creationId xmlns:a16="http://schemas.microsoft.com/office/drawing/2014/main" id="{00000000-0008-0000-0200-000010280200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29" name="QRE">
            <a:extLst>
              <a:ext uri="{FF2B5EF4-FFF2-40B4-BE49-F238E27FC236}">
                <a16:creationId xmlns:a16="http://schemas.microsoft.com/office/drawing/2014/main" id="{00000000-0008-0000-0200-000011280200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30" name="QRE">
            <a:extLst>
              <a:ext uri="{FF2B5EF4-FFF2-40B4-BE49-F238E27FC236}">
                <a16:creationId xmlns:a16="http://schemas.microsoft.com/office/drawing/2014/main" id="{00000000-0008-0000-0200-000012280200}"/>
              </a:ext>
            </a:extLst>
          </xdr:cNvPr>
          <xdr:cNvSpPr/>
        </xdr:nvSpPr>
        <xdr:spPr>
          <a:xfrm>
            <a:off x="1016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31" name="QRE">
            <a:extLst>
              <a:ext uri="{FF2B5EF4-FFF2-40B4-BE49-F238E27FC236}">
                <a16:creationId xmlns:a16="http://schemas.microsoft.com/office/drawing/2014/main" id="{00000000-0008-0000-0200-000013280200}"/>
              </a:ext>
            </a:extLst>
          </xdr:cNvPr>
          <xdr:cNvSpPr/>
        </xdr:nvSpPr>
        <xdr:spPr>
          <a:xfrm>
            <a:off x="1143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32" name="QRE">
            <a:extLst>
              <a:ext uri="{FF2B5EF4-FFF2-40B4-BE49-F238E27FC236}">
                <a16:creationId xmlns:a16="http://schemas.microsoft.com/office/drawing/2014/main" id="{00000000-0008-0000-0200-000014280200}"/>
              </a:ext>
            </a:extLst>
          </xdr:cNvPr>
          <xdr:cNvSpPr/>
        </xdr:nvSpPr>
        <xdr:spPr>
          <a:xfrm>
            <a:off x="1397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33" name="QRE">
            <a:extLst>
              <a:ext uri="{FF2B5EF4-FFF2-40B4-BE49-F238E27FC236}">
                <a16:creationId xmlns:a16="http://schemas.microsoft.com/office/drawing/2014/main" id="{00000000-0008-0000-0200-000015280200}"/>
              </a:ext>
            </a:extLst>
          </xdr:cNvPr>
          <xdr:cNvSpPr/>
        </xdr:nvSpPr>
        <xdr:spPr>
          <a:xfrm>
            <a:off x="152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34" name="QRE">
            <a:extLst>
              <a:ext uri="{FF2B5EF4-FFF2-40B4-BE49-F238E27FC236}">
                <a16:creationId xmlns:a16="http://schemas.microsoft.com/office/drawing/2014/main" id="{00000000-0008-0000-0200-000016280200}"/>
              </a:ext>
            </a:extLst>
          </xdr:cNvPr>
          <xdr:cNvSpPr/>
        </xdr:nvSpPr>
        <xdr:spPr>
          <a:xfrm>
            <a:off x="1778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35" name="QRE">
            <a:extLst>
              <a:ext uri="{FF2B5EF4-FFF2-40B4-BE49-F238E27FC236}">
                <a16:creationId xmlns:a16="http://schemas.microsoft.com/office/drawing/2014/main" id="{00000000-0008-0000-0200-000017280200}"/>
              </a:ext>
            </a:extLst>
          </xdr:cNvPr>
          <xdr:cNvSpPr/>
        </xdr:nvSpPr>
        <xdr:spPr>
          <a:xfrm>
            <a:off x="2032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36" name="QRE">
            <a:extLst>
              <a:ext uri="{FF2B5EF4-FFF2-40B4-BE49-F238E27FC236}">
                <a16:creationId xmlns:a16="http://schemas.microsoft.com/office/drawing/2014/main" id="{00000000-0008-0000-0200-000018280200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37" name="QRE">
            <a:extLst>
              <a:ext uri="{FF2B5EF4-FFF2-40B4-BE49-F238E27FC236}">
                <a16:creationId xmlns:a16="http://schemas.microsoft.com/office/drawing/2014/main" id="{00000000-0008-0000-0200-000019280200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38" name="QRE">
            <a:extLst>
              <a:ext uri="{FF2B5EF4-FFF2-40B4-BE49-F238E27FC236}">
                <a16:creationId xmlns:a16="http://schemas.microsoft.com/office/drawing/2014/main" id="{00000000-0008-0000-0200-00001A280200}"/>
              </a:ext>
            </a:extLst>
          </xdr:cNvPr>
          <xdr:cNvSpPr/>
        </xdr:nvSpPr>
        <xdr:spPr>
          <a:xfrm>
            <a:off x="2413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39" name="QRE">
            <a:extLst>
              <a:ext uri="{FF2B5EF4-FFF2-40B4-BE49-F238E27FC236}">
                <a16:creationId xmlns:a16="http://schemas.microsoft.com/office/drawing/2014/main" id="{00000000-0008-0000-0200-00001B280200}"/>
              </a:ext>
            </a:extLst>
          </xdr:cNvPr>
          <xdr:cNvSpPr/>
        </xdr:nvSpPr>
        <xdr:spPr>
          <a:xfrm>
            <a:off x="2667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40" name="QRE">
            <a:extLst>
              <a:ext uri="{FF2B5EF4-FFF2-40B4-BE49-F238E27FC236}">
                <a16:creationId xmlns:a16="http://schemas.microsoft.com/office/drawing/2014/main" id="{00000000-0008-0000-0200-00001C280200}"/>
              </a:ext>
            </a:extLst>
          </xdr:cNvPr>
          <xdr:cNvSpPr/>
        </xdr:nvSpPr>
        <xdr:spPr>
          <a:xfrm>
            <a:off x="3048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41" name="QRE">
            <a:extLst>
              <a:ext uri="{FF2B5EF4-FFF2-40B4-BE49-F238E27FC236}">
                <a16:creationId xmlns:a16="http://schemas.microsoft.com/office/drawing/2014/main" id="{00000000-0008-0000-0200-00001D280200}"/>
              </a:ext>
            </a:extLst>
          </xdr:cNvPr>
          <xdr:cNvSpPr/>
        </xdr:nvSpPr>
        <xdr:spPr>
          <a:xfrm>
            <a:off x="3810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42" name="QRE">
            <a:extLst>
              <a:ext uri="{FF2B5EF4-FFF2-40B4-BE49-F238E27FC236}">
                <a16:creationId xmlns:a16="http://schemas.microsoft.com/office/drawing/2014/main" id="{00000000-0008-0000-0200-00001E280200}"/>
              </a:ext>
            </a:extLst>
          </xdr:cNvPr>
          <xdr:cNvSpPr/>
        </xdr:nvSpPr>
        <xdr:spPr>
          <a:xfrm>
            <a:off x="4191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43" name="QRE">
            <a:extLst>
              <a:ext uri="{FF2B5EF4-FFF2-40B4-BE49-F238E27FC236}">
                <a16:creationId xmlns:a16="http://schemas.microsoft.com/office/drawing/2014/main" id="{00000000-0008-0000-0200-00001F280200}"/>
              </a:ext>
            </a:extLst>
          </xdr:cNvPr>
          <xdr:cNvSpPr/>
        </xdr:nvSpPr>
        <xdr:spPr>
          <a:xfrm>
            <a:off x="4318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44" name="QRE">
            <a:extLst>
              <a:ext uri="{FF2B5EF4-FFF2-40B4-BE49-F238E27FC236}">
                <a16:creationId xmlns:a16="http://schemas.microsoft.com/office/drawing/2014/main" id="{00000000-0008-0000-0200-000020280200}"/>
              </a:ext>
            </a:extLst>
          </xdr:cNvPr>
          <xdr:cNvSpPr/>
        </xdr:nvSpPr>
        <xdr:spPr>
          <a:xfrm>
            <a:off x="444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45" name="QRE">
            <a:extLst>
              <a:ext uri="{FF2B5EF4-FFF2-40B4-BE49-F238E27FC236}">
                <a16:creationId xmlns:a16="http://schemas.microsoft.com/office/drawing/2014/main" id="{00000000-0008-0000-0200-000021280200}"/>
              </a:ext>
            </a:extLst>
          </xdr:cNvPr>
          <xdr:cNvSpPr/>
        </xdr:nvSpPr>
        <xdr:spPr>
          <a:xfrm>
            <a:off x="4572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46" name="QRE">
            <a:extLst>
              <a:ext uri="{FF2B5EF4-FFF2-40B4-BE49-F238E27FC236}">
                <a16:creationId xmlns:a16="http://schemas.microsoft.com/office/drawing/2014/main" id="{00000000-0008-0000-0200-000022280200}"/>
              </a:ext>
            </a:extLst>
          </xdr:cNvPr>
          <xdr:cNvSpPr/>
        </xdr:nvSpPr>
        <xdr:spPr>
          <a:xfrm>
            <a:off x="25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47" name="QRE">
            <a:extLst>
              <a:ext uri="{FF2B5EF4-FFF2-40B4-BE49-F238E27FC236}">
                <a16:creationId xmlns:a16="http://schemas.microsoft.com/office/drawing/2014/main" id="{00000000-0008-0000-0200-000023280200}"/>
              </a:ext>
            </a:extLst>
          </xdr:cNvPr>
          <xdr:cNvSpPr/>
        </xdr:nvSpPr>
        <xdr:spPr>
          <a:xfrm>
            <a:off x="508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48" name="QRE">
            <a:extLst>
              <a:ext uri="{FF2B5EF4-FFF2-40B4-BE49-F238E27FC236}">
                <a16:creationId xmlns:a16="http://schemas.microsoft.com/office/drawing/2014/main" id="{00000000-0008-0000-0200-000024280200}"/>
              </a:ext>
            </a:extLst>
          </xdr:cNvPr>
          <xdr:cNvSpPr/>
        </xdr:nvSpPr>
        <xdr:spPr>
          <a:xfrm>
            <a:off x="889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49" name="QRE">
            <a:extLst>
              <a:ext uri="{FF2B5EF4-FFF2-40B4-BE49-F238E27FC236}">
                <a16:creationId xmlns:a16="http://schemas.microsoft.com/office/drawing/2014/main" id="{00000000-0008-0000-0200-000025280200}"/>
              </a:ext>
            </a:extLst>
          </xdr:cNvPr>
          <xdr:cNvSpPr/>
        </xdr:nvSpPr>
        <xdr:spPr>
          <a:xfrm>
            <a:off x="114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50" name="QRE">
            <a:extLst>
              <a:ext uri="{FF2B5EF4-FFF2-40B4-BE49-F238E27FC236}">
                <a16:creationId xmlns:a16="http://schemas.microsoft.com/office/drawing/2014/main" id="{00000000-0008-0000-0200-000026280200}"/>
              </a:ext>
            </a:extLst>
          </xdr:cNvPr>
          <xdr:cNvSpPr/>
        </xdr:nvSpPr>
        <xdr:spPr>
          <a:xfrm>
            <a:off x="139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51" name="QRE">
            <a:extLst>
              <a:ext uri="{FF2B5EF4-FFF2-40B4-BE49-F238E27FC236}">
                <a16:creationId xmlns:a16="http://schemas.microsoft.com/office/drawing/2014/main" id="{00000000-0008-0000-0200-000027280200}"/>
              </a:ext>
            </a:extLst>
          </xdr:cNvPr>
          <xdr:cNvSpPr/>
        </xdr:nvSpPr>
        <xdr:spPr>
          <a:xfrm>
            <a:off x="152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52" name="QRE">
            <a:extLst>
              <a:ext uri="{FF2B5EF4-FFF2-40B4-BE49-F238E27FC236}">
                <a16:creationId xmlns:a16="http://schemas.microsoft.com/office/drawing/2014/main" id="{00000000-0008-0000-0200-000028280200}"/>
              </a:ext>
            </a:extLst>
          </xdr:cNvPr>
          <xdr:cNvSpPr/>
        </xdr:nvSpPr>
        <xdr:spPr>
          <a:xfrm>
            <a:off x="2159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53" name="QRE">
            <a:extLst>
              <a:ext uri="{FF2B5EF4-FFF2-40B4-BE49-F238E27FC236}">
                <a16:creationId xmlns:a16="http://schemas.microsoft.com/office/drawing/2014/main" id="{00000000-0008-0000-0200-000029280200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54" name="QRE">
            <a:extLst>
              <a:ext uri="{FF2B5EF4-FFF2-40B4-BE49-F238E27FC236}">
                <a16:creationId xmlns:a16="http://schemas.microsoft.com/office/drawing/2014/main" id="{00000000-0008-0000-0200-00002A280200}"/>
              </a:ext>
            </a:extLst>
          </xdr:cNvPr>
          <xdr:cNvSpPr/>
        </xdr:nvSpPr>
        <xdr:spPr>
          <a:xfrm>
            <a:off x="2540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55" name="QRE">
            <a:extLst>
              <a:ext uri="{FF2B5EF4-FFF2-40B4-BE49-F238E27FC236}">
                <a16:creationId xmlns:a16="http://schemas.microsoft.com/office/drawing/2014/main" id="{00000000-0008-0000-0200-00002B280200}"/>
              </a:ext>
            </a:extLst>
          </xdr:cNvPr>
          <xdr:cNvSpPr/>
        </xdr:nvSpPr>
        <xdr:spPr>
          <a:xfrm>
            <a:off x="279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56" name="QRE">
            <a:extLst>
              <a:ext uri="{FF2B5EF4-FFF2-40B4-BE49-F238E27FC236}">
                <a16:creationId xmlns:a16="http://schemas.microsoft.com/office/drawing/2014/main" id="{00000000-0008-0000-0200-00002C280200}"/>
              </a:ext>
            </a:extLst>
          </xdr:cNvPr>
          <xdr:cNvSpPr/>
        </xdr:nvSpPr>
        <xdr:spPr>
          <a:xfrm>
            <a:off x="2921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57" name="QRE">
            <a:extLst>
              <a:ext uri="{FF2B5EF4-FFF2-40B4-BE49-F238E27FC236}">
                <a16:creationId xmlns:a16="http://schemas.microsoft.com/office/drawing/2014/main" id="{00000000-0008-0000-0200-00002D280200}"/>
              </a:ext>
            </a:extLst>
          </xdr:cNvPr>
          <xdr:cNvSpPr/>
        </xdr:nvSpPr>
        <xdr:spPr>
          <a:xfrm>
            <a:off x="3175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58" name="QRE">
            <a:extLst>
              <a:ext uri="{FF2B5EF4-FFF2-40B4-BE49-F238E27FC236}">
                <a16:creationId xmlns:a16="http://schemas.microsoft.com/office/drawing/2014/main" id="{00000000-0008-0000-0200-00002E280200}"/>
              </a:ext>
            </a:extLst>
          </xdr:cNvPr>
          <xdr:cNvSpPr/>
        </xdr:nvSpPr>
        <xdr:spPr>
          <a:xfrm>
            <a:off x="3429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59" name="QRE">
            <a:extLst>
              <a:ext uri="{FF2B5EF4-FFF2-40B4-BE49-F238E27FC236}">
                <a16:creationId xmlns:a16="http://schemas.microsoft.com/office/drawing/2014/main" id="{00000000-0008-0000-0200-00002F280200}"/>
              </a:ext>
            </a:extLst>
          </xdr:cNvPr>
          <xdr:cNvSpPr/>
        </xdr:nvSpPr>
        <xdr:spPr>
          <a:xfrm>
            <a:off x="368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60" name="QRE">
            <a:extLst>
              <a:ext uri="{FF2B5EF4-FFF2-40B4-BE49-F238E27FC236}">
                <a16:creationId xmlns:a16="http://schemas.microsoft.com/office/drawing/2014/main" id="{00000000-0008-0000-0200-000030280200}"/>
              </a:ext>
            </a:extLst>
          </xdr:cNvPr>
          <xdr:cNvSpPr/>
        </xdr:nvSpPr>
        <xdr:spPr>
          <a:xfrm>
            <a:off x="393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61" name="QRE">
            <a:extLst>
              <a:ext uri="{FF2B5EF4-FFF2-40B4-BE49-F238E27FC236}">
                <a16:creationId xmlns:a16="http://schemas.microsoft.com/office/drawing/2014/main" id="{00000000-0008-0000-0200-000031280200}"/>
              </a:ext>
            </a:extLst>
          </xdr:cNvPr>
          <xdr:cNvSpPr/>
        </xdr:nvSpPr>
        <xdr:spPr>
          <a:xfrm>
            <a:off x="4191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62" name="QRE">
            <a:extLst>
              <a:ext uri="{FF2B5EF4-FFF2-40B4-BE49-F238E27FC236}">
                <a16:creationId xmlns:a16="http://schemas.microsoft.com/office/drawing/2014/main" id="{00000000-0008-0000-0200-000032280200}"/>
              </a:ext>
            </a:extLst>
          </xdr:cNvPr>
          <xdr:cNvSpPr/>
        </xdr:nvSpPr>
        <xdr:spPr>
          <a:xfrm>
            <a:off x="12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63" name="QRE">
            <a:extLst>
              <a:ext uri="{FF2B5EF4-FFF2-40B4-BE49-F238E27FC236}">
                <a16:creationId xmlns:a16="http://schemas.microsoft.com/office/drawing/2014/main" id="{00000000-0008-0000-0200-000033280200}"/>
              </a:ext>
            </a:extLst>
          </xdr:cNvPr>
          <xdr:cNvSpPr/>
        </xdr:nvSpPr>
        <xdr:spPr>
          <a:xfrm>
            <a:off x="254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64" name="QRE">
            <a:extLst>
              <a:ext uri="{FF2B5EF4-FFF2-40B4-BE49-F238E27FC236}">
                <a16:creationId xmlns:a16="http://schemas.microsoft.com/office/drawing/2014/main" id="{00000000-0008-0000-0200-000034280200}"/>
              </a:ext>
            </a:extLst>
          </xdr:cNvPr>
          <xdr:cNvSpPr/>
        </xdr:nvSpPr>
        <xdr:spPr>
          <a:xfrm>
            <a:off x="508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65" name="QRE">
            <a:extLst>
              <a:ext uri="{FF2B5EF4-FFF2-40B4-BE49-F238E27FC236}">
                <a16:creationId xmlns:a16="http://schemas.microsoft.com/office/drawing/2014/main" id="{00000000-0008-0000-0200-000035280200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66" name="QRE">
            <a:extLst>
              <a:ext uri="{FF2B5EF4-FFF2-40B4-BE49-F238E27FC236}">
                <a16:creationId xmlns:a16="http://schemas.microsoft.com/office/drawing/2014/main" id="{00000000-0008-0000-0200-000036280200}"/>
              </a:ext>
            </a:extLst>
          </xdr:cNvPr>
          <xdr:cNvSpPr/>
        </xdr:nvSpPr>
        <xdr:spPr>
          <a:xfrm>
            <a:off x="889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67" name="QRE">
            <a:extLst>
              <a:ext uri="{FF2B5EF4-FFF2-40B4-BE49-F238E27FC236}">
                <a16:creationId xmlns:a16="http://schemas.microsoft.com/office/drawing/2014/main" id="{00000000-0008-0000-0200-000037280200}"/>
              </a:ext>
            </a:extLst>
          </xdr:cNvPr>
          <xdr:cNvSpPr/>
        </xdr:nvSpPr>
        <xdr:spPr>
          <a:xfrm>
            <a:off x="1016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68" name="QRE">
            <a:extLst>
              <a:ext uri="{FF2B5EF4-FFF2-40B4-BE49-F238E27FC236}">
                <a16:creationId xmlns:a16="http://schemas.microsoft.com/office/drawing/2014/main" id="{00000000-0008-0000-0200-000038280200}"/>
              </a:ext>
            </a:extLst>
          </xdr:cNvPr>
          <xdr:cNvSpPr/>
        </xdr:nvSpPr>
        <xdr:spPr>
          <a:xfrm>
            <a:off x="139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69" name="QRE">
            <a:extLst>
              <a:ext uri="{FF2B5EF4-FFF2-40B4-BE49-F238E27FC236}">
                <a16:creationId xmlns:a16="http://schemas.microsoft.com/office/drawing/2014/main" id="{00000000-0008-0000-0200-000039280200}"/>
              </a:ext>
            </a:extLst>
          </xdr:cNvPr>
          <xdr:cNvSpPr/>
        </xdr:nvSpPr>
        <xdr:spPr>
          <a:xfrm>
            <a:off x="1524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70" name="QRE">
            <a:extLst>
              <a:ext uri="{FF2B5EF4-FFF2-40B4-BE49-F238E27FC236}">
                <a16:creationId xmlns:a16="http://schemas.microsoft.com/office/drawing/2014/main" id="{00000000-0008-0000-0200-00003A280200}"/>
              </a:ext>
            </a:extLst>
          </xdr:cNvPr>
          <xdr:cNvSpPr/>
        </xdr:nvSpPr>
        <xdr:spPr>
          <a:xfrm>
            <a:off x="203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71" name="QRE">
            <a:extLst>
              <a:ext uri="{FF2B5EF4-FFF2-40B4-BE49-F238E27FC236}">
                <a16:creationId xmlns:a16="http://schemas.microsoft.com/office/drawing/2014/main" id="{00000000-0008-0000-0200-00003B280200}"/>
              </a:ext>
            </a:extLst>
          </xdr:cNvPr>
          <xdr:cNvSpPr/>
        </xdr:nvSpPr>
        <xdr:spPr>
          <a:xfrm>
            <a:off x="2159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72" name="QRE">
            <a:extLst>
              <a:ext uri="{FF2B5EF4-FFF2-40B4-BE49-F238E27FC236}">
                <a16:creationId xmlns:a16="http://schemas.microsoft.com/office/drawing/2014/main" id="{00000000-0008-0000-0200-00003C280200}"/>
              </a:ext>
            </a:extLst>
          </xdr:cNvPr>
          <xdr:cNvSpPr/>
        </xdr:nvSpPr>
        <xdr:spPr>
          <a:xfrm>
            <a:off x="2286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73" name="QRE">
            <a:extLst>
              <a:ext uri="{FF2B5EF4-FFF2-40B4-BE49-F238E27FC236}">
                <a16:creationId xmlns:a16="http://schemas.microsoft.com/office/drawing/2014/main" id="{00000000-0008-0000-0200-00003D280200}"/>
              </a:ext>
            </a:extLst>
          </xdr:cNvPr>
          <xdr:cNvSpPr/>
        </xdr:nvSpPr>
        <xdr:spPr>
          <a:xfrm>
            <a:off x="2540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74" name="QRE">
            <a:extLst>
              <a:ext uri="{FF2B5EF4-FFF2-40B4-BE49-F238E27FC236}">
                <a16:creationId xmlns:a16="http://schemas.microsoft.com/office/drawing/2014/main" id="{00000000-0008-0000-0200-00003E280200}"/>
              </a:ext>
            </a:extLst>
          </xdr:cNvPr>
          <xdr:cNvSpPr/>
        </xdr:nvSpPr>
        <xdr:spPr>
          <a:xfrm>
            <a:off x="266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75" name="QRE">
            <a:extLst>
              <a:ext uri="{FF2B5EF4-FFF2-40B4-BE49-F238E27FC236}">
                <a16:creationId xmlns:a16="http://schemas.microsoft.com/office/drawing/2014/main" id="{00000000-0008-0000-0200-00003F280200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76" name="QRE">
            <a:extLst>
              <a:ext uri="{FF2B5EF4-FFF2-40B4-BE49-F238E27FC236}">
                <a16:creationId xmlns:a16="http://schemas.microsoft.com/office/drawing/2014/main" id="{00000000-0008-0000-0200-000040280200}"/>
              </a:ext>
            </a:extLst>
          </xdr:cNvPr>
          <xdr:cNvSpPr/>
        </xdr:nvSpPr>
        <xdr:spPr>
          <a:xfrm>
            <a:off x="2921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77" name="QRE">
            <a:extLst>
              <a:ext uri="{FF2B5EF4-FFF2-40B4-BE49-F238E27FC236}">
                <a16:creationId xmlns:a16="http://schemas.microsoft.com/office/drawing/2014/main" id="{00000000-0008-0000-0200-000041280200}"/>
              </a:ext>
            </a:extLst>
          </xdr:cNvPr>
          <xdr:cNvSpPr/>
        </xdr:nvSpPr>
        <xdr:spPr>
          <a:xfrm>
            <a:off x="3048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78" name="QRE">
            <a:extLst>
              <a:ext uri="{FF2B5EF4-FFF2-40B4-BE49-F238E27FC236}">
                <a16:creationId xmlns:a16="http://schemas.microsoft.com/office/drawing/2014/main" id="{00000000-0008-0000-0200-000042280200}"/>
              </a:ext>
            </a:extLst>
          </xdr:cNvPr>
          <xdr:cNvSpPr/>
        </xdr:nvSpPr>
        <xdr:spPr>
          <a:xfrm>
            <a:off x="3175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79" name="QRE">
            <a:extLst>
              <a:ext uri="{FF2B5EF4-FFF2-40B4-BE49-F238E27FC236}">
                <a16:creationId xmlns:a16="http://schemas.microsoft.com/office/drawing/2014/main" id="{00000000-0008-0000-0200-000043280200}"/>
              </a:ext>
            </a:extLst>
          </xdr:cNvPr>
          <xdr:cNvSpPr/>
        </xdr:nvSpPr>
        <xdr:spPr>
          <a:xfrm>
            <a:off x="3810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80" name="QRE">
            <a:extLst>
              <a:ext uri="{FF2B5EF4-FFF2-40B4-BE49-F238E27FC236}">
                <a16:creationId xmlns:a16="http://schemas.microsoft.com/office/drawing/2014/main" id="{00000000-0008-0000-0200-000044280200}"/>
              </a:ext>
            </a:extLst>
          </xdr:cNvPr>
          <xdr:cNvSpPr/>
        </xdr:nvSpPr>
        <xdr:spPr>
          <a:xfrm>
            <a:off x="393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81" name="QRE">
            <a:extLst>
              <a:ext uri="{FF2B5EF4-FFF2-40B4-BE49-F238E27FC236}">
                <a16:creationId xmlns:a16="http://schemas.microsoft.com/office/drawing/2014/main" id="{00000000-0008-0000-0200-000045280200}"/>
              </a:ext>
            </a:extLst>
          </xdr:cNvPr>
          <xdr:cNvSpPr/>
        </xdr:nvSpPr>
        <xdr:spPr>
          <a:xfrm>
            <a:off x="4445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82" name="QRE">
            <a:extLst>
              <a:ext uri="{FF2B5EF4-FFF2-40B4-BE49-F238E27FC236}">
                <a16:creationId xmlns:a16="http://schemas.microsoft.com/office/drawing/2014/main" id="{00000000-0008-0000-0200-000046280200}"/>
              </a:ext>
            </a:extLst>
          </xdr:cNvPr>
          <xdr:cNvSpPr/>
        </xdr:nvSpPr>
        <xdr:spPr>
          <a:xfrm>
            <a:off x="457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83" name="QRE">
            <a:extLst>
              <a:ext uri="{FF2B5EF4-FFF2-40B4-BE49-F238E27FC236}">
                <a16:creationId xmlns:a16="http://schemas.microsoft.com/office/drawing/2014/main" id="{00000000-0008-0000-0200-000047280200}"/>
              </a:ext>
            </a:extLst>
          </xdr:cNvPr>
          <xdr:cNvSpPr/>
        </xdr:nvSpPr>
        <xdr:spPr>
          <a:xfrm>
            <a:off x="254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84" name="QRE">
            <a:extLst>
              <a:ext uri="{FF2B5EF4-FFF2-40B4-BE49-F238E27FC236}">
                <a16:creationId xmlns:a16="http://schemas.microsoft.com/office/drawing/2014/main" id="{00000000-0008-0000-0200-000048280200}"/>
              </a:ext>
            </a:extLst>
          </xdr:cNvPr>
          <xdr:cNvSpPr/>
        </xdr:nvSpPr>
        <xdr:spPr>
          <a:xfrm>
            <a:off x="508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85" name="QRE">
            <a:extLst>
              <a:ext uri="{FF2B5EF4-FFF2-40B4-BE49-F238E27FC236}">
                <a16:creationId xmlns:a16="http://schemas.microsoft.com/office/drawing/2014/main" id="{00000000-0008-0000-0200-000049280200}"/>
              </a:ext>
            </a:extLst>
          </xdr:cNvPr>
          <xdr:cNvSpPr/>
        </xdr:nvSpPr>
        <xdr:spPr>
          <a:xfrm>
            <a:off x="1016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86" name="QRE">
            <a:extLst>
              <a:ext uri="{FF2B5EF4-FFF2-40B4-BE49-F238E27FC236}">
                <a16:creationId xmlns:a16="http://schemas.microsoft.com/office/drawing/2014/main" id="{00000000-0008-0000-0200-00004A280200}"/>
              </a:ext>
            </a:extLst>
          </xdr:cNvPr>
          <xdr:cNvSpPr/>
        </xdr:nvSpPr>
        <xdr:spPr>
          <a:xfrm>
            <a:off x="1143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87" name="QRE">
            <a:extLst>
              <a:ext uri="{FF2B5EF4-FFF2-40B4-BE49-F238E27FC236}">
                <a16:creationId xmlns:a16="http://schemas.microsoft.com/office/drawing/2014/main" id="{00000000-0008-0000-0200-00004B280200}"/>
              </a:ext>
            </a:extLst>
          </xdr:cNvPr>
          <xdr:cNvSpPr/>
        </xdr:nvSpPr>
        <xdr:spPr>
          <a:xfrm>
            <a:off x="127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88" name="QRE">
            <a:extLst>
              <a:ext uri="{FF2B5EF4-FFF2-40B4-BE49-F238E27FC236}">
                <a16:creationId xmlns:a16="http://schemas.microsoft.com/office/drawing/2014/main" id="{00000000-0008-0000-0200-00004C280200}"/>
              </a:ext>
            </a:extLst>
          </xdr:cNvPr>
          <xdr:cNvSpPr/>
        </xdr:nvSpPr>
        <xdr:spPr>
          <a:xfrm>
            <a:off x="1397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89" name="QRE">
            <a:extLst>
              <a:ext uri="{FF2B5EF4-FFF2-40B4-BE49-F238E27FC236}">
                <a16:creationId xmlns:a16="http://schemas.microsoft.com/office/drawing/2014/main" id="{00000000-0008-0000-0200-00004D280200}"/>
              </a:ext>
            </a:extLst>
          </xdr:cNvPr>
          <xdr:cNvSpPr/>
        </xdr:nvSpPr>
        <xdr:spPr>
          <a:xfrm>
            <a:off x="2159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90" name="QRE">
            <a:extLst>
              <a:ext uri="{FF2B5EF4-FFF2-40B4-BE49-F238E27FC236}">
                <a16:creationId xmlns:a16="http://schemas.microsoft.com/office/drawing/2014/main" id="{00000000-0008-0000-0200-00004E280200}"/>
              </a:ext>
            </a:extLst>
          </xdr:cNvPr>
          <xdr:cNvSpPr/>
        </xdr:nvSpPr>
        <xdr:spPr>
          <a:xfrm>
            <a:off x="2286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91" name="QRE">
            <a:extLst>
              <a:ext uri="{FF2B5EF4-FFF2-40B4-BE49-F238E27FC236}">
                <a16:creationId xmlns:a16="http://schemas.microsoft.com/office/drawing/2014/main" id="{00000000-0008-0000-0200-00004F280200}"/>
              </a:ext>
            </a:extLst>
          </xdr:cNvPr>
          <xdr:cNvSpPr/>
        </xdr:nvSpPr>
        <xdr:spPr>
          <a:xfrm>
            <a:off x="2413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92" name="QRE">
            <a:extLst>
              <a:ext uri="{FF2B5EF4-FFF2-40B4-BE49-F238E27FC236}">
                <a16:creationId xmlns:a16="http://schemas.microsoft.com/office/drawing/2014/main" id="{00000000-0008-0000-0200-000050280200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93" name="QRE">
            <a:extLst>
              <a:ext uri="{FF2B5EF4-FFF2-40B4-BE49-F238E27FC236}">
                <a16:creationId xmlns:a16="http://schemas.microsoft.com/office/drawing/2014/main" id="{00000000-0008-0000-0200-000051280200}"/>
              </a:ext>
            </a:extLst>
          </xdr:cNvPr>
          <xdr:cNvSpPr/>
        </xdr:nvSpPr>
        <xdr:spPr>
          <a:xfrm>
            <a:off x="2794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94" name="QRE">
            <a:extLst>
              <a:ext uri="{FF2B5EF4-FFF2-40B4-BE49-F238E27FC236}">
                <a16:creationId xmlns:a16="http://schemas.microsoft.com/office/drawing/2014/main" id="{00000000-0008-0000-0200-000052280200}"/>
              </a:ext>
            </a:extLst>
          </xdr:cNvPr>
          <xdr:cNvSpPr/>
        </xdr:nvSpPr>
        <xdr:spPr>
          <a:xfrm>
            <a:off x="2921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95" name="QRE">
            <a:extLst>
              <a:ext uri="{FF2B5EF4-FFF2-40B4-BE49-F238E27FC236}">
                <a16:creationId xmlns:a16="http://schemas.microsoft.com/office/drawing/2014/main" id="{00000000-0008-0000-0200-000053280200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96" name="QRE">
            <a:extLst>
              <a:ext uri="{FF2B5EF4-FFF2-40B4-BE49-F238E27FC236}">
                <a16:creationId xmlns:a16="http://schemas.microsoft.com/office/drawing/2014/main" id="{00000000-0008-0000-0200-000054280200}"/>
              </a:ext>
            </a:extLst>
          </xdr:cNvPr>
          <xdr:cNvSpPr/>
        </xdr:nvSpPr>
        <xdr:spPr>
          <a:xfrm>
            <a:off x="3175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97" name="QRE">
            <a:extLst>
              <a:ext uri="{FF2B5EF4-FFF2-40B4-BE49-F238E27FC236}">
                <a16:creationId xmlns:a16="http://schemas.microsoft.com/office/drawing/2014/main" id="{00000000-0008-0000-0200-000055280200}"/>
              </a:ext>
            </a:extLst>
          </xdr:cNvPr>
          <xdr:cNvSpPr/>
        </xdr:nvSpPr>
        <xdr:spPr>
          <a:xfrm>
            <a:off x="3302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98" name="QRE">
            <a:extLst>
              <a:ext uri="{FF2B5EF4-FFF2-40B4-BE49-F238E27FC236}">
                <a16:creationId xmlns:a16="http://schemas.microsoft.com/office/drawing/2014/main" id="{00000000-0008-0000-0200-000056280200}"/>
              </a:ext>
            </a:extLst>
          </xdr:cNvPr>
          <xdr:cNvSpPr/>
        </xdr:nvSpPr>
        <xdr:spPr>
          <a:xfrm>
            <a:off x="3429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99" name="QRE">
            <a:extLst>
              <a:ext uri="{FF2B5EF4-FFF2-40B4-BE49-F238E27FC236}">
                <a16:creationId xmlns:a16="http://schemas.microsoft.com/office/drawing/2014/main" id="{00000000-0008-0000-0200-000057280200}"/>
              </a:ext>
            </a:extLst>
          </xdr:cNvPr>
          <xdr:cNvSpPr/>
        </xdr:nvSpPr>
        <xdr:spPr>
          <a:xfrm>
            <a:off x="3683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00" name="QRE">
            <a:extLst>
              <a:ext uri="{FF2B5EF4-FFF2-40B4-BE49-F238E27FC236}">
                <a16:creationId xmlns:a16="http://schemas.microsoft.com/office/drawing/2014/main" id="{00000000-0008-0000-0200-000058280200}"/>
              </a:ext>
            </a:extLst>
          </xdr:cNvPr>
          <xdr:cNvSpPr/>
        </xdr:nvSpPr>
        <xdr:spPr>
          <a:xfrm>
            <a:off x="381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01" name="QRE">
            <a:extLst>
              <a:ext uri="{FF2B5EF4-FFF2-40B4-BE49-F238E27FC236}">
                <a16:creationId xmlns:a16="http://schemas.microsoft.com/office/drawing/2014/main" id="{00000000-0008-0000-0200-000059280200}"/>
              </a:ext>
            </a:extLst>
          </xdr:cNvPr>
          <xdr:cNvSpPr/>
        </xdr:nvSpPr>
        <xdr:spPr>
          <a:xfrm>
            <a:off x="3937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02" name="QRE">
            <a:extLst>
              <a:ext uri="{FF2B5EF4-FFF2-40B4-BE49-F238E27FC236}">
                <a16:creationId xmlns:a16="http://schemas.microsoft.com/office/drawing/2014/main" id="{00000000-0008-0000-0200-00005A280200}"/>
              </a:ext>
            </a:extLst>
          </xdr:cNvPr>
          <xdr:cNvSpPr/>
        </xdr:nvSpPr>
        <xdr:spPr>
          <a:xfrm>
            <a:off x="4064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03" name="QRE">
            <a:extLst>
              <a:ext uri="{FF2B5EF4-FFF2-40B4-BE49-F238E27FC236}">
                <a16:creationId xmlns:a16="http://schemas.microsoft.com/office/drawing/2014/main" id="{00000000-0008-0000-0200-00005B280200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04" name="QRE">
            <a:extLst>
              <a:ext uri="{FF2B5EF4-FFF2-40B4-BE49-F238E27FC236}">
                <a16:creationId xmlns:a16="http://schemas.microsoft.com/office/drawing/2014/main" id="{00000000-0008-0000-0200-00005C280200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05" name="QRE">
            <a:extLst>
              <a:ext uri="{FF2B5EF4-FFF2-40B4-BE49-F238E27FC236}">
                <a16:creationId xmlns:a16="http://schemas.microsoft.com/office/drawing/2014/main" id="{00000000-0008-0000-0200-00005D280200}"/>
              </a:ext>
            </a:extLst>
          </xdr:cNvPr>
          <xdr:cNvSpPr/>
        </xdr:nvSpPr>
        <xdr:spPr>
          <a:xfrm>
            <a:off x="63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06" name="QRE">
            <a:extLst>
              <a:ext uri="{FF2B5EF4-FFF2-40B4-BE49-F238E27FC236}">
                <a16:creationId xmlns:a16="http://schemas.microsoft.com/office/drawing/2014/main" id="{00000000-0008-0000-0200-00005E280200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07" name="QRE">
            <a:extLst>
              <a:ext uri="{FF2B5EF4-FFF2-40B4-BE49-F238E27FC236}">
                <a16:creationId xmlns:a16="http://schemas.microsoft.com/office/drawing/2014/main" id="{00000000-0008-0000-0200-00005F280200}"/>
              </a:ext>
            </a:extLst>
          </xdr:cNvPr>
          <xdr:cNvSpPr/>
        </xdr:nvSpPr>
        <xdr:spPr>
          <a:xfrm>
            <a:off x="1016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08" name="QRE">
            <a:extLst>
              <a:ext uri="{FF2B5EF4-FFF2-40B4-BE49-F238E27FC236}">
                <a16:creationId xmlns:a16="http://schemas.microsoft.com/office/drawing/2014/main" id="{00000000-0008-0000-0200-000060280200}"/>
              </a:ext>
            </a:extLst>
          </xdr:cNvPr>
          <xdr:cNvSpPr/>
        </xdr:nvSpPr>
        <xdr:spPr>
          <a:xfrm>
            <a:off x="165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09" name="QRE">
            <a:extLst>
              <a:ext uri="{FF2B5EF4-FFF2-40B4-BE49-F238E27FC236}">
                <a16:creationId xmlns:a16="http://schemas.microsoft.com/office/drawing/2014/main" id="{00000000-0008-0000-0200-000061280200}"/>
              </a:ext>
            </a:extLst>
          </xdr:cNvPr>
          <xdr:cNvSpPr/>
        </xdr:nvSpPr>
        <xdr:spPr>
          <a:xfrm>
            <a:off x="1778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10" name="QRE">
            <a:extLst>
              <a:ext uri="{FF2B5EF4-FFF2-40B4-BE49-F238E27FC236}">
                <a16:creationId xmlns:a16="http://schemas.microsoft.com/office/drawing/2014/main" id="{00000000-0008-0000-0200-000062280200}"/>
              </a:ext>
            </a:extLst>
          </xdr:cNvPr>
          <xdr:cNvSpPr/>
        </xdr:nvSpPr>
        <xdr:spPr>
          <a:xfrm>
            <a:off x="203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11" name="QRE">
            <a:extLst>
              <a:ext uri="{FF2B5EF4-FFF2-40B4-BE49-F238E27FC236}">
                <a16:creationId xmlns:a16="http://schemas.microsoft.com/office/drawing/2014/main" id="{00000000-0008-0000-0200-000063280200}"/>
              </a:ext>
            </a:extLst>
          </xdr:cNvPr>
          <xdr:cNvSpPr/>
        </xdr:nvSpPr>
        <xdr:spPr>
          <a:xfrm>
            <a:off x="2540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12" name="QRE">
            <a:extLst>
              <a:ext uri="{FF2B5EF4-FFF2-40B4-BE49-F238E27FC236}">
                <a16:creationId xmlns:a16="http://schemas.microsoft.com/office/drawing/2014/main" id="{00000000-0008-0000-0200-000064280200}"/>
              </a:ext>
            </a:extLst>
          </xdr:cNvPr>
          <xdr:cNvSpPr/>
        </xdr:nvSpPr>
        <xdr:spPr>
          <a:xfrm>
            <a:off x="2667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13" name="QRE">
            <a:extLst>
              <a:ext uri="{FF2B5EF4-FFF2-40B4-BE49-F238E27FC236}">
                <a16:creationId xmlns:a16="http://schemas.microsoft.com/office/drawing/2014/main" id="{00000000-0008-0000-0200-000065280200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14" name="QRE">
            <a:extLst>
              <a:ext uri="{FF2B5EF4-FFF2-40B4-BE49-F238E27FC236}">
                <a16:creationId xmlns:a16="http://schemas.microsoft.com/office/drawing/2014/main" id="{00000000-0008-0000-0200-000066280200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15" name="QRE">
            <a:extLst>
              <a:ext uri="{FF2B5EF4-FFF2-40B4-BE49-F238E27FC236}">
                <a16:creationId xmlns:a16="http://schemas.microsoft.com/office/drawing/2014/main" id="{00000000-0008-0000-0200-000067280200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16" name="QRE">
            <a:extLst>
              <a:ext uri="{FF2B5EF4-FFF2-40B4-BE49-F238E27FC236}">
                <a16:creationId xmlns:a16="http://schemas.microsoft.com/office/drawing/2014/main" id="{00000000-0008-0000-0200-000068280200}"/>
              </a:ext>
            </a:extLst>
          </xdr:cNvPr>
          <xdr:cNvSpPr/>
        </xdr:nvSpPr>
        <xdr:spPr>
          <a:xfrm>
            <a:off x="406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17" name="QRE">
            <a:extLst>
              <a:ext uri="{FF2B5EF4-FFF2-40B4-BE49-F238E27FC236}">
                <a16:creationId xmlns:a16="http://schemas.microsoft.com/office/drawing/2014/main" id="{00000000-0008-0000-0200-000069280200}"/>
              </a:ext>
            </a:extLst>
          </xdr:cNvPr>
          <xdr:cNvSpPr/>
        </xdr:nvSpPr>
        <xdr:spPr>
          <a:xfrm>
            <a:off x="4318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18" name="QRE">
            <a:extLst>
              <a:ext uri="{FF2B5EF4-FFF2-40B4-BE49-F238E27FC236}">
                <a16:creationId xmlns:a16="http://schemas.microsoft.com/office/drawing/2014/main" id="{00000000-0008-0000-0200-00006A280200}"/>
              </a:ext>
            </a:extLst>
          </xdr:cNvPr>
          <xdr:cNvSpPr/>
        </xdr:nvSpPr>
        <xdr:spPr>
          <a:xfrm>
            <a:off x="444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19" name="QRE">
            <a:extLst>
              <a:ext uri="{FF2B5EF4-FFF2-40B4-BE49-F238E27FC236}">
                <a16:creationId xmlns:a16="http://schemas.microsoft.com/office/drawing/2014/main" id="{00000000-0008-0000-0200-00006B280200}"/>
              </a:ext>
            </a:extLst>
          </xdr:cNvPr>
          <xdr:cNvSpPr/>
        </xdr:nvSpPr>
        <xdr:spPr>
          <a:xfrm>
            <a:off x="889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20" name="QRE">
            <a:extLst>
              <a:ext uri="{FF2B5EF4-FFF2-40B4-BE49-F238E27FC236}">
                <a16:creationId xmlns:a16="http://schemas.microsoft.com/office/drawing/2014/main" id="{00000000-0008-0000-0200-00006C280200}"/>
              </a:ext>
            </a:extLst>
          </xdr:cNvPr>
          <xdr:cNvSpPr/>
        </xdr:nvSpPr>
        <xdr:spPr>
          <a:xfrm>
            <a:off x="1143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21" name="QRE">
            <a:extLst>
              <a:ext uri="{FF2B5EF4-FFF2-40B4-BE49-F238E27FC236}">
                <a16:creationId xmlns:a16="http://schemas.microsoft.com/office/drawing/2014/main" id="{00000000-0008-0000-0200-00006D280200}"/>
              </a:ext>
            </a:extLst>
          </xdr:cNvPr>
          <xdr:cNvSpPr/>
        </xdr:nvSpPr>
        <xdr:spPr>
          <a:xfrm>
            <a:off x="127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22" name="QRE">
            <a:extLst>
              <a:ext uri="{FF2B5EF4-FFF2-40B4-BE49-F238E27FC236}">
                <a16:creationId xmlns:a16="http://schemas.microsoft.com/office/drawing/2014/main" id="{00000000-0008-0000-0200-00006E280200}"/>
              </a:ext>
            </a:extLst>
          </xdr:cNvPr>
          <xdr:cNvSpPr/>
        </xdr:nvSpPr>
        <xdr:spPr>
          <a:xfrm>
            <a:off x="1397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23" name="QRE">
            <a:extLst>
              <a:ext uri="{FF2B5EF4-FFF2-40B4-BE49-F238E27FC236}">
                <a16:creationId xmlns:a16="http://schemas.microsoft.com/office/drawing/2014/main" id="{00000000-0008-0000-0200-00006F280200}"/>
              </a:ext>
            </a:extLst>
          </xdr:cNvPr>
          <xdr:cNvSpPr/>
        </xdr:nvSpPr>
        <xdr:spPr>
          <a:xfrm>
            <a:off x="152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24" name="QRE">
            <a:extLst>
              <a:ext uri="{FF2B5EF4-FFF2-40B4-BE49-F238E27FC236}">
                <a16:creationId xmlns:a16="http://schemas.microsoft.com/office/drawing/2014/main" id="{00000000-0008-0000-0200-000070280200}"/>
              </a:ext>
            </a:extLst>
          </xdr:cNvPr>
          <xdr:cNvSpPr/>
        </xdr:nvSpPr>
        <xdr:spPr>
          <a:xfrm>
            <a:off x="1905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25" name="QRE">
            <a:extLst>
              <a:ext uri="{FF2B5EF4-FFF2-40B4-BE49-F238E27FC236}">
                <a16:creationId xmlns:a16="http://schemas.microsoft.com/office/drawing/2014/main" id="{00000000-0008-0000-0200-000071280200}"/>
              </a:ext>
            </a:extLst>
          </xdr:cNvPr>
          <xdr:cNvSpPr/>
        </xdr:nvSpPr>
        <xdr:spPr>
          <a:xfrm>
            <a:off x="228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26" name="QRE">
            <a:extLst>
              <a:ext uri="{FF2B5EF4-FFF2-40B4-BE49-F238E27FC236}">
                <a16:creationId xmlns:a16="http://schemas.microsoft.com/office/drawing/2014/main" id="{00000000-0008-0000-0200-000072280200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27" name="QRE">
            <a:extLst>
              <a:ext uri="{FF2B5EF4-FFF2-40B4-BE49-F238E27FC236}">
                <a16:creationId xmlns:a16="http://schemas.microsoft.com/office/drawing/2014/main" id="{00000000-0008-0000-0200-000073280200}"/>
              </a:ext>
            </a:extLst>
          </xdr:cNvPr>
          <xdr:cNvSpPr/>
        </xdr:nvSpPr>
        <xdr:spPr>
          <a:xfrm>
            <a:off x="279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28" name="QRE">
            <a:extLst>
              <a:ext uri="{FF2B5EF4-FFF2-40B4-BE49-F238E27FC236}">
                <a16:creationId xmlns:a16="http://schemas.microsoft.com/office/drawing/2014/main" id="{00000000-0008-0000-0200-000074280200}"/>
              </a:ext>
            </a:extLst>
          </xdr:cNvPr>
          <xdr:cNvSpPr/>
        </xdr:nvSpPr>
        <xdr:spPr>
          <a:xfrm>
            <a:off x="3048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29" name="QRE">
            <a:extLst>
              <a:ext uri="{FF2B5EF4-FFF2-40B4-BE49-F238E27FC236}">
                <a16:creationId xmlns:a16="http://schemas.microsoft.com/office/drawing/2014/main" id="{00000000-0008-0000-0200-000075280200}"/>
              </a:ext>
            </a:extLst>
          </xdr:cNvPr>
          <xdr:cNvSpPr/>
        </xdr:nvSpPr>
        <xdr:spPr>
          <a:xfrm>
            <a:off x="3429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30" name="QRE">
            <a:extLst>
              <a:ext uri="{FF2B5EF4-FFF2-40B4-BE49-F238E27FC236}">
                <a16:creationId xmlns:a16="http://schemas.microsoft.com/office/drawing/2014/main" id="{00000000-0008-0000-0200-000076280200}"/>
              </a:ext>
            </a:extLst>
          </xdr:cNvPr>
          <xdr:cNvSpPr/>
        </xdr:nvSpPr>
        <xdr:spPr>
          <a:xfrm>
            <a:off x="3683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31" name="QRE">
            <a:extLst>
              <a:ext uri="{FF2B5EF4-FFF2-40B4-BE49-F238E27FC236}">
                <a16:creationId xmlns:a16="http://schemas.microsoft.com/office/drawing/2014/main" id="{00000000-0008-0000-0200-000077280200}"/>
              </a:ext>
            </a:extLst>
          </xdr:cNvPr>
          <xdr:cNvSpPr/>
        </xdr:nvSpPr>
        <xdr:spPr>
          <a:xfrm>
            <a:off x="381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32" name="QRE">
            <a:extLst>
              <a:ext uri="{FF2B5EF4-FFF2-40B4-BE49-F238E27FC236}">
                <a16:creationId xmlns:a16="http://schemas.microsoft.com/office/drawing/2014/main" id="{00000000-0008-0000-0200-000078280200}"/>
              </a:ext>
            </a:extLst>
          </xdr:cNvPr>
          <xdr:cNvSpPr/>
        </xdr:nvSpPr>
        <xdr:spPr>
          <a:xfrm>
            <a:off x="3937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33" name="QRE">
            <a:extLst>
              <a:ext uri="{FF2B5EF4-FFF2-40B4-BE49-F238E27FC236}">
                <a16:creationId xmlns:a16="http://schemas.microsoft.com/office/drawing/2014/main" id="{00000000-0008-0000-0200-000079280200}"/>
              </a:ext>
            </a:extLst>
          </xdr:cNvPr>
          <xdr:cNvSpPr/>
        </xdr:nvSpPr>
        <xdr:spPr>
          <a:xfrm>
            <a:off x="4318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34" name="QRE">
            <a:extLst>
              <a:ext uri="{FF2B5EF4-FFF2-40B4-BE49-F238E27FC236}">
                <a16:creationId xmlns:a16="http://schemas.microsoft.com/office/drawing/2014/main" id="{00000000-0008-0000-0200-00007A280200}"/>
              </a:ext>
            </a:extLst>
          </xdr:cNvPr>
          <xdr:cNvSpPr/>
        </xdr:nvSpPr>
        <xdr:spPr>
          <a:xfrm>
            <a:off x="4445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35" name="QRE">
            <a:extLst>
              <a:ext uri="{FF2B5EF4-FFF2-40B4-BE49-F238E27FC236}">
                <a16:creationId xmlns:a16="http://schemas.microsoft.com/office/drawing/2014/main" id="{00000000-0008-0000-0200-00007B280200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36" name="QRE">
            <a:extLst>
              <a:ext uri="{FF2B5EF4-FFF2-40B4-BE49-F238E27FC236}">
                <a16:creationId xmlns:a16="http://schemas.microsoft.com/office/drawing/2014/main" id="{00000000-0008-0000-0200-00007C280200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37" name="QRE">
            <a:extLst>
              <a:ext uri="{FF2B5EF4-FFF2-40B4-BE49-F238E27FC236}">
                <a16:creationId xmlns:a16="http://schemas.microsoft.com/office/drawing/2014/main" id="{00000000-0008-0000-0200-00007D280200}"/>
              </a:ext>
            </a:extLst>
          </xdr:cNvPr>
          <xdr:cNvSpPr/>
        </xdr:nvSpPr>
        <xdr:spPr>
          <a:xfrm>
            <a:off x="63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38" name="QRE">
            <a:extLst>
              <a:ext uri="{FF2B5EF4-FFF2-40B4-BE49-F238E27FC236}">
                <a16:creationId xmlns:a16="http://schemas.microsoft.com/office/drawing/2014/main" id="{00000000-0008-0000-0200-00007E280200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39" name="QRE">
            <a:extLst>
              <a:ext uri="{FF2B5EF4-FFF2-40B4-BE49-F238E27FC236}">
                <a16:creationId xmlns:a16="http://schemas.microsoft.com/office/drawing/2014/main" id="{00000000-0008-0000-0200-00007F280200}"/>
              </a:ext>
            </a:extLst>
          </xdr:cNvPr>
          <xdr:cNvSpPr/>
        </xdr:nvSpPr>
        <xdr:spPr>
          <a:xfrm>
            <a:off x="1143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40" name="QRE">
            <a:extLst>
              <a:ext uri="{FF2B5EF4-FFF2-40B4-BE49-F238E27FC236}">
                <a16:creationId xmlns:a16="http://schemas.microsoft.com/office/drawing/2014/main" id="{00000000-0008-0000-0200-000080280200}"/>
              </a:ext>
            </a:extLst>
          </xdr:cNvPr>
          <xdr:cNvSpPr/>
        </xdr:nvSpPr>
        <xdr:spPr>
          <a:xfrm>
            <a:off x="1270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41" name="QRE">
            <a:extLst>
              <a:ext uri="{FF2B5EF4-FFF2-40B4-BE49-F238E27FC236}">
                <a16:creationId xmlns:a16="http://schemas.microsoft.com/office/drawing/2014/main" id="{00000000-0008-0000-0200-000081280200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42" name="QRE">
            <a:extLst>
              <a:ext uri="{FF2B5EF4-FFF2-40B4-BE49-F238E27FC236}">
                <a16:creationId xmlns:a16="http://schemas.microsoft.com/office/drawing/2014/main" id="{00000000-0008-0000-0200-000082280200}"/>
              </a:ext>
            </a:extLst>
          </xdr:cNvPr>
          <xdr:cNvSpPr/>
        </xdr:nvSpPr>
        <xdr:spPr>
          <a:xfrm>
            <a:off x="203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43" name="QRE">
            <a:extLst>
              <a:ext uri="{FF2B5EF4-FFF2-40B4-BE49-F238E27FC236}">
                <a16:creationId xmlns:a16="http://schemas.microsoft.com/office/drawing/2014/main" id="{00000000-0008-0000-0200-000083280200}"/>
              </a:ext>
            </a:extLst>
          </xdr:cNvPr>
          <xdr:cNvSpPr/>
        </xdr:nvSpPr>
        <xdr:spPr>
          <a:xfrm>
            <a:off x="228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44" name="QRE">
            <a:extLst>
              <a:ext uri="{FF2B5EF4-FFF2-40B4-BE49-F238E27FC236}">
                <a16:creationId xmlns:a16="http://schemas.microsoft.com/office/drawing/2014/main" id="{00000000-0008-0000-0200-000084280200}"/>
              </a:ext>
            </a:extLst>
          </xdr:cNvPr>
          <xdr:cNvSpPr/>
        </xdr:nvSpPr>
        <xdr:spPr>
          <a:xfrm>
            <a:off x="2413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45" name="QRE">
            <a:extLst>
              <a:ext uri="{FF2B5EF4-FFF2-40B4-BE49-F238E27FC236}">
                <a16:creationId xmlns:a16="http://schemas.microsoft.com/office/drawing/2014/main" id="{00000000-0008-0000-0200-000085280200}"/>
              </a:ext>
            </a:extLst>
          </xdr:cNvPr>
          <xdr:cNvSpPr/>
        </xdr:nvSpPr>
        <xdr:spPr>
          <a:xfrm>
            <a:off x="2540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46" name="QRE">
            <a:extLst>
              <a:ext uri="{FF2B5EF4-FFF2-40B4-BE49-F238E27FC236}">
                <a16:creationId xmlns:a16="http://schemas.microsoft.com/office/drawing/2014/main" id="{00000000-0008-0000-0200-000086280200}"/>
              </a:ext>
            </a:extLst>
          </xdr:cNvPr>
          <xdr:cNvSpPr/>
        </xdr:nvSpPr>
        <xdr:spPr>
          <a:xfrm>
            <a:off x="2794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47" name="QRE">
            <a:extLst>
              <a:ext uri="{FF2B5EF4-FFF2-40B4-BE49-F238E27FC236}">
                <a16:creationId xmlns:a16="http://schemas.microsoft.com/office/drawing/2014/main" id="{00000000-0008-0000-0200-000087280200}"/>
              </a:ext>
            </a:extLst>
          </xdr:cNvPr>
          <xdr:cNvSpPr/>
        </xdr:nvSpPr>
        <xdr:spPr>
          <a:xfrm>
            <a:off x="292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48" name="QRE">
            <a:extLst>
              <a:ext uri="{FF2B5EF4-FFF2-40B4-BE49-F238E27FC236}">
                <a16:creationId xmlns:a16="http://schemas.microsoft.com/office/drawing/2014/main" id="{00000000-0008-0000-0200-000088280200}"/>
              </a:ext>
            </a:extLst>
          </xdr:cNvPr>
          <xdr:cNvSpPr/>
        </xdr:nvSpPr>
        <xdr:spPr>
          <a:xfrm>
            <a:off x="304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49" name="QRE">
            <a:extLst>
              <a:ext uri="{FF2B5EF4-FFF2-40B4-BE49-F238E27FC236}">
                <a16:creationId xmlns:a16="http://schemas.microsoft.com/office/drawing/2014/main" id="{00000000-0008-0000-0200-000089280200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50" name="QRE">
            <a:extLst>
              <a:ext uri="{FF2B5EF4-FFF2-40B4-BE49-F238E27FC236}">
                <a16:creationId xmlns:a16="http://schemas.microsoft.com/office/drawing/2014/main" id="{00000000-0008-0000-0200-00008A280200}"/>
              </a:ext>
            </a:extLst>
          </xdr:cNvPr>
          <xdr:cNvSpPr/>
        </xdr:nvSpPr>
        <xdr:spPr>
          <a:xfrm>
            <a:off x="3429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51" name="QRE">
            <a:extLst>
              <a:ext uri="{FF2B5EF4-FFF2-40B4-BE49-F238E27FC236}">
                <a16:creationId xmlns:a16="http://schemas.microsoft.com/office/drawing/2014/main" id="{00000000-0008-0000-0200-00008B280200}"/>
              </a:ext>
            </a:extLst>
          </xdr:cNvPr>
          <xdr:cNvSpPr/>
        </xdr:nvSpPr>
        <xdr:spPr>
          <a:xfrm>
            <a:off x="3810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52" name="QRE">
            <a:extLst>
              <a:ext uri="{FF2B5EF4-FFF2-40B4-BE49-F238E27FC236}">
                <a16:creationId xmlns:a16="http://schemas.microsoft.com/office/drawing/2014/main" id="{00000000-0008-0000-0200-00008C280200}"/>
              </a:ext>
            </a:extLst>
          </xdr:cNvPr>
          <xdr:cNvSpPr/>
        </xdr:nvSpPr>
        <xdr:spPr>
          <a:xfrm>
            <a:off x="3937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53" name="QRE">
            <a:extLst>
              <a:ext uri="{FF2B5EF4-FFF2-40B4-BE49-F238E27FC236}">
                <a16:creationId xmlns:a16="http://schemas.microsoft.com/office/drawing/2014/main" id="{00000000-0008-0000-0200-00008D280200}"/>
              </a:ext>
            </a:extLst>
          </xdr:cNvPr>
          <xdr:cNvSpPr/>
        </xdr:nvSpPr>
        <xdr:spPr>
          <a:xfrm>
            <a:off x="4064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54" name="QRE">
            <a:extLst>
              <a:ext uri="{FF2B5EF4-FFF2-40B4-BE49-F238E27FC236}">
                <a16:creationId xmlns:a16="http://schemas.microsoft.com/office/drawing/2014/main" id="{00000000-0008-0000-0200-00008E280200}"/>
              </a:ext>
            </a:extLst>
          </xdr:cNvPr>
          <xdr:cNvSpPr/>
        </xdr:nvSpPr>
        <xdr:spPr>
          <a:xfrm>
            <a:off x="431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55" name="QRE">
            <a:extLst>
              <a:ext uri="{FF2B5EF4-FFF2-40B4-BE49-F238E27FC236}">
                <a16:creationId xmlns:a16="http://schemas.microsoft.com/office/drawing/2014/main" id="{00000000-0008-0000-0200-00008F280200}"/>
              </a:ext>
            </a:extLst>
          </xdr:cNvPr>
          <xdr:cNvSpPr/>
        </xdr:nvSpPr>
        <xdr:spPr>
          <a:xfrm>
            <a:off x="444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56" name="QRE">
            <a:extLst>
              <a:ext uri="{FF2B5EF4-FFF2-40B4-BE49-F238E27FC236}">
                <a16:creationId xmlns:a16="http://schemas.microsoft.com/office/drawing/2014/main" id="{00000000-0008-0000-0200-000090280200}"/>
              </a:ext>
            </a:extLst>
          </xdr:cNvPr>
          <xdr:cNvSpPr/>
        </xdr:nvSpPr>
        <xdr:spPr>
          <a:xfrm>
            <a:off x="12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57" name="QRE">
            <a:extLst>
              <a:ext uri="{FF2B5EF4-FFF2-40B4-BE49-F238E27FC236}">
                <a16:creationId xmlns:a16="http://schemas.microsoft.com/office/drawing/2014/main" id="{00000000-0008-0000-0200-000091280200}"/>
              </a:ext>
            </a:extLst>
          </xdr:cNvPr>
          <xdr:cNvSpPr/>
        </xdr:nvSpPr>
        <xdr:spPr>
          <a:xfrm>
            <a:off x="254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58" name="QRE">
            <a:extLst>
              <a:ext uri="{FF2B5EF4-FFF2-40B4-BE49-F238E27FC236}">
                <a16:creationId xmlns:a16="http://schemas.microsoft.com/office/drawing/2014/main" id="{00000000-0008-0000-0200-000092280200}"/>
              </a:ext>
            </a:extLst>
          </xdr:cNvPr>
          <xdr:cNvSpPr/>
        </xdr:nvSpPr>
        <xdr:spPr>
          <a:xfrm>
            <a:off x="381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59" name="QRE">
            <a:extLst>
              <a:ext uri="{FF2B5EF4-FFF2-40B4-BE49-F238E27FC236}">
                <a16:creationId xmlns:a16="http://schemas.microsoft.com/office/drawing/2014/main" id="{00000000-0008-0000-0200-000093280200}"/>
              </a:ext>
            </a:extLst>
          </xdr:cNvPr>
          <xdr:cNvSpPr/>
        </xdr:nvSpPr>
        <xdr:spPr>
          <a:xfrm>
            <a:off x="508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60" name="QRE">
            <a:extLst>
              <a:ext uri="{FF2B5EF4-FFF2-40B4-BE49-F238E27FC236}">
                <a16:creationId xmlns:a16="http://schemas.microsoft.com/office/drawing/2014/main" id="{00000000-0008-0000-0200-000094280200}"/>
              </a:ext>
            </a:extLst>
          </xdr:cNvPr>
          <xdr:cNvSpPr/>
        </xdr:nvSpPr>
        <xdr:spPr>
          <a:xfrm>
            <a:off x="635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61" name="QRE">
            <a:extLst>
              <a:ext uri="{FF2B5EF4-FFF2-40B4-BE49-F238E27FC236}">
                <a16:creationId xmlns:a16="http://schemas.microsoft.com/office/drawing/2014/main" id="{00000000-0008-0000-0200-000095280200}"/>
              </a:ext>
            </a:extLst>
          </xdr:cNvPr>
          <xdr:cNvSpPr/>
        </xdr:nvSpPr>
        <xdr:spPr>
          <a:xfrm>
            <a:off x="1143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62" name="QRE">
            <a:extLst>
              <a:ext uri="{FF2B5EF4-FFF2-40B4-BE49-F238E27FC236}">
                <a16:creationId xmlns:a16="http://schemas.microsoft.com/office/drawing/2014/main" id="{00000000-0008-0000-0200-000096280200}"/>
              </a:ext>
            </a:extLst>
          </xdr:cNvPr>
          <xdr:cNvSpPr/>
        </xdr:nvSpPr>
        <xdr:spPr>
          <a:xfrm>
            <a:off x="1651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63" name="QRE">
            <a:extLst>
              <a:ext uri="{FF2B5EF4-FFF2-40B4-BE49-F238E27FC236}">
                <a16:creationId xmlns:a16="http://schemas.microsoft.com/office/drawing/2014/main" id="{00000000-0008-0000-0200-000097280200}"/>
              </a:ext>
            </a:extLst>
          </xdr:cNvPr>
          <xdr:cNvSpPr/>
        </xdr:nvSpPr>
        <xdr:spPr>
          <a:xfrm>
            <a:off x="1778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64" name="QRE">
            <a:extLst>
              <a:ext uri="{FF2B5EF4-FFF2-40B4-BE49-F238E27FC236}">
                <a16:creationId xmlns:a16="http://schemas.microsoft.com/office/drawing/2014/main" id="{00000000-0008-0000-0200-000098280200}"/>
              </a:ext>
            </a:extLst>
          </xdr:cNvPr>
          <xdr:cNvSpPr/>
        </xdr:nvSpPr>
        <xdr:spPr>
          <a:xfrm>
            <a:off x="2032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65" name="QRE">
            <a:extLst>
              <a:ext uri="{FF2B5EF4-FFF2-40B4-BE49-F238E27FC236}">
                <a16:creationId xmlns:a16="http://schemas.microsoft.com/office/drawing/2014/main" id="{00000000-0008-0000-0200-000099280200}"/>
              </a:ext>
            </a:extLst>
          </xdr:cNvPr>
          <xdr:cNvSpPr/>
        </xdr:nvSpPr>
        <xdr:spPr>
          <a:xfrm>
            <a:off x="2286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66" name="QRE">
            <a:extLst>
              <a:ext uri="{FF2B5EF4-FFF2-40B4-BE49-F238E27FC236}">
                <a16:creationId xmlns:a16="http://schemas.microsoft.com/office/drawing/2014/main" id="{00000000-0008-0000-0200-00009A280200}"/>
              </a:ext>
            </a:extLst>
          </xdr:cNvPr>
          <xdr:cNvSpPr/>
        </xdr:nvSpPr>
        <xdr:spPr>
          <a:xfrm>
            <a:off x="3175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67" name="QRE">
            <a:extLst>
              <a:ext uri="{FF2B5EF4-FFF2-40B4-BE49-F238E27FC236}">
                <a16:creationId xmlns:a16="http://schemas.microsoft.com/office/drawing/2014/main" id="{00000000-0008-0000-0200-00009B280200}"/>
              </a:ext>
            </a:extLst>
          </xdr:cNvPr>
          <xdr:cNvSpPr/>
        </xdr:nvSpPr>
        <xdr:spPr>
          <a:xfrm>
            <a:off x="3429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68" name="QRE">
            <a:extLst>
              <a:ext uri="{FF2B5EF4-FFF2-40B4-BE49-F238E27FC236}">
                <a16:creationId xmlns:a16="http://schemas.microsoft.com/office/drawing/2014/main" id="{00000000-0008-0000-0200-00009C280200}"/>
              </a:ext>
            </a:extLst>
          </xdr:cNvPr>
          <xdr:cNvSpPr/>
        </xdr:nvSpPr>
        <xdr:spPr>
          <a:xfrm>
            <a:off x="381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69" name="QRE">
            <a:extLst>
              <a:ext uri="{FF2B5EF4-FFF2-40B4-BE49-F238E27FC236}">
                <a16:creationId xmlns:a16="http://schemas.microsoft.com/office/drawing/2014/main" id="{00000000-0008-0000-0200-00009D280200}"/>
              </a:ext>
            </a:extLst>
          </xdr:cNvPr>
          <xdr:cNvSpPr/>
        </xdr:nvSpPr>
        <xdr:spPr>
          <a:xfrm>
            <a:off x="4191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70" name="QRE">
            <a:extLst>
              <a:ext uri="{FF2B5EF4-FFF2-40B4-BE49-F238E27FC236}">
                <a16:creationId xmlns:a16="http://schemas.microsoft.com/office/drawing/2014/main" id="{00000000-0008-0000-0200-00009E280200}"/>
              </a:ext>
            </a:extLst>
          </xdr:cNvPr>
          <xdr:cNvSpPr/>
        </xdr:nvSpPr>
        <xdr:spPr>
          <a:xfrm>
            <a:off x="4445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71" name="QRE">
            <a:extLst>
              <a:ext uri="{FF2B5EF4-FFF2-40B4-BE49-F238E27FC236}">
                <a16:creationId xmlns:a16="http://schemas.microsoft.com/office/drawing/2014/main" id="{00000000-0008-0000-0200-00009F280200}"/>
              </a:ext>
            </a:extLst>
          </xdr:cNvPr>
          <xdr:cNvSpPr/>
        </xdr:nvSpPr>
        <xdr:spPr>
          <a:xfrm>
            <a:off x="4572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72" name="QRE">
            <a:extLst>
              <a:ext uri="{FF2B5EF4-FFF2-40B4-BE49-F238E27FC236}">
                <a16:creationId xmlns:a16="http://schemas.microsoft.com/office/drawing/2014/main" id="{00000000-0008-0000-0200-0000A0280200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73" name="QRE">
            <a:extLst>
              <a:ext uri="{FF2B5EF4-FFF2-40B4-BE49-F238E27FC236}">
                <a16:creationId xmlns:a16="http://schemas.microsoft.com/office/drawing/2014/main" id="{00000000-0008-0000-0200-0000A1280200}"/>
              </a:ext>
            </a:extLst>
          </xdr:cNvPr>
          <xdr:cNvSpPr/>
        </xdr:nvSpPr>
        <xdr:spPr>
          <a:xfrm>
            <a:off x="127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74" name="QRE">
            <a:extLst>
              <a:ext uri="{FF2B5EF4-FFF2-40B4-BE49-F238E27FC236}">
                <a16:creationId xmlns:a16="http://schemas.microsoft.com/office/drawing/2014/main" id="{00000000-0008-0000-0200-0000A2280200}"/>
              </a:ext>
            </a:extLst>
          </xdr:cNvPr>
          <xdr:cNvSpPr/>
        </xdr:nvSpPr>
        <xdr:spPr>
          <a:xfrm>
            <a:off x="635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75" name="QRE">
            <a:extLst>
              <a:ext uri="{FF2B5EF4-FFF2-40B4-BE49-F238E27FC236}">
                <a16:creationId xmlns:a16="http://schemas.microsoft.com/office/drawing/2014/main" id="{00000000-0008-0000-0200-0000A3280200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76" name="QRE">
            <a:extLst>
              <a:ext uri="{FF2B5EF4-FFF2-40B4-BE49-F238E27FC236}">
                <a16:creationId xmlns:a16="http://schemas.microsoft.com/office/drawing/2014/main" id="{00000000-0008-0000-0200-0000A4280200}"/>
              </a:ext>
            </a:extLst>
          </xdr:cNvPr>
          <xdr:cNvSpPr/>
        </xdr:nvSpPr>
        <xdr:spPr>
          <a:xfrm>
            <a:off x="1397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77" name="QRE">
            <a:extLst>
              <a:ext uri="{FF2B5EF4-FFF2-40B4-BE49-F238E27FC236}">
                <a16:creationId xmlns:a16="http://schemas.microsoft.com/office/drawing/2014/main" id="{00000000-0008-0000-0200-0000A5280200}"/>
              </a:ext>
            </a:extLst>
          </xdr:cNvPr>
          <xdr:cNvSpPr/>
        </xdr:nvSpPr>
        <xdr:spPr>
          <a:xfrm>
            <a:off x="152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78" name="QRE">
            <a:extLst>
              <a:ext uri="{FF2B5EF4-FFF2-40B4-BE49-F238E27FC236}">
                <a16:creationId xmlns:a16="http://schemas.microsoft.com/office/drawing/2014/main" id="{00000000-0008-0000-0200-0000A6280200}"/>
              </a:ext>
            </a:extLst>
          </xdr:cNvPr>
          <xdr:cNvSpPr/>
        </xdr:nvSpPr>
        <xdr:spPr>
          <a:xfrm>
            <a:off x="165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79" name="QRE">
            <a:extLst>
              <a:ext uri="{FF2B5EF4-FFF2-40B4-BE49-F238E27FC236}">
                <a16:creationId xmlns:a16="http://schemas.microsoft.com/office/drawing/2014/main" id="{00000000-0008-0000-0200-0000A7280200}"/>
              </a:ext>
            </a:extLst>
          </xdr:cNvPr>
          <xdr:cNvSpPr/>
        </xdr:nvSpPr>
        <xdr:spPr>
          <a:xfrm>
            <a:off x="177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80" name="QRE">
            <a:extLst>
              <a:ext uri="{FF2B5EF4-FFF2-40B4-BE49-F238E27FC236}">
                <a16:creationId xmlns:a16="http://schemas.microsoft.com/office/drawing/2014/main" id="{00000000-0008-0000-0200-0000A8280200}"/>
              </a:ext>
            </a:extLst>
          </xdr:cNvPr>
          <xdr:cNvSpPr/>
        </xdr:nvSpPr>
        <xdr:spPr>
          <a:xfrm>
            <a:off x="1905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81" name="QRE">
            <a:extLst>
              <a:ext uri="{FF2B5EF4-FFF2-40B4-BE49-F238E27FC236}">
                <a16:creationId xmlns:a16="http://schemas.microsoft.com/office/drawing/2014/main" id="{00000000-0008-0000-0200-0000A9280200}"/>
              </a:ext>
            </a:extLst>
          </xdr:cNvPr>
          <xdr:cNvSpPr/>
        </xdr:nvSpPr>
        <xdr:spPr>
          <a:xfrm>
            <a:off x="2286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82" name="QRE">
            <a:extLst>
              <a:ext uri="{FF2B5EF4-FFF2-40B4-BE49-F238E27FC236}">
                <a16:creationId xmlns:a16="http://schemas.microsoft.com/office/drawing/2014/main" id="{00000000-0008-0000-0200-0000AA280200}"/>
              </a:ext>
            </a:extLst>
          </xdr:cNvPr>
          <xdr:cNvSpPr/>
        </xdr:nvSpPr>
        <xdr:spPr>
          <a:xfrm>
            <a:off x="2540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83" name="QRE">
            <a:extLst>
              <a:ext uri="{FF2B5EF4-FFF2-40B4-BE49-F238E27FC236}">
                <a16:creationId xmlns:a16="http://schemas.microsoft.com/office/drawing/2014/main" id="{00000000-0008-0000-0200-0000AB280200}"/>
              </a:ext>
            </a:extLst>
          </xdr:cNvPr>
          <xdr:cNvSpPr/>
        </xdr:nvSpPr>
        <xdr:spPr>
          <a:xfrm>
            <a:off x="2667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84" name="QRE">
            <a:extLst>
              <a:ext uri="{FF2B5EF4-FFF2-40B4-BE49-F238E27FC236}">
                <a16:creationId xmlns:a16="http://schemas.microsoft.com/office/drawing/2014/main" id="{00000000-0008-0000-0200-0000AC280200}"/>
              </a:ext>
            </a:extLst>
          </xdr:cNvPr>
          <xdr:cNvSpPr/>
        </xdr:nvSpPr>
        <xdr:spPr>
          <a:xfrm>
            <a:off x="279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85" name="QRE">
            <a:extLst>
              <a:ext uri="{FF2B5EF4-FFF2-40B4-BE49-F238E27FC236}">
                <a16:creationId xmlns:a16="http://schemas.microsoft.com/office/drawing/2014/main" id="{00000000-0008-0000-0200-0000AD280200}"/>
              </a:ext>
            </a:extLst>
          </xdr:cNvPr>
          <xdr:cNvSpPr/>
        </xdr:nvSpPr>
        <xdr:spPr>
          <a:xfrm>
            <a:off x="292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86" name="QRE">
            <a:extLst>
              <a:ext uri="{FF2B5EF4-FFF2-40B4-BE49-F238E27FC236}">
                <a16:creationId xmlns:a16="http://schemas.microsoft.com/office/drawing/2014/main" id="{00000000-0008-0000-0200-0000AE280200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87" name="QRE">
            <a:extLst>
              <a:ext uri="{FF2B5EF4-FFF2-40B4-BE49-F238E27FC236}">
                <a16:creationId xmlns:a16="http://schemas.microsoft.com/office/drawing/2014/main" id="{00000000-0008-0000-0200-0000AF280200}"/>
              </a:ext>
            </a:extLst>
          </xdr:cNvPr>
          <xdr:cNvSpPr/>
        </xdr:nvSpPr>
        <xdr:spPr>
          <a:xfrm>
            <a:off x="3556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88" name="QRE">
            <a:extLst>
              <a:ext uri="{FF2B5EF4-FFF2-40B4-BE49-F238E27FC236}">
                <a16:creationId xmlns:a16="http://schemas.microsoft.com/office/drawing/2014/main" id="{00000000-0008-0000-0200-0000B0280200}"/>
              </a:ext>
            </a:extLst>
          </xdr:cNvPr>
          <xdr:cNvSpPr/>
        </xdr:nvSpPr>
        <xdr:spPr>
          <a:xfrm>
            <a:off x="3683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89" name="QRE">
            <a:extLst>
              <a:ext uri="{FF2B5EF4-FFF2-40B4-BE49-F238E27FC236}">
                <a16:creationId xmlns:a16="http://schemas.microsoft.com/office/drawing/2014/main" id="{00000000-0008-0000-0200-0000B1280200}"/>
              </a:ext>
            </a:extLst>
          </xdr:cNvPr>
          <xdr:cNvSpPr/>
        </xdr:nvSpPr>
        <xdr:spPr>
          <a:xfrm>
            <a:off x="3810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90" name="QRE">
            <a:extLst>
              <a:ext uri="{FF2B5EF4-FFF2-40B4-BE49-F238E27FC236}">
                <a16:creationId xmlns:a16="http://schemas.microsoft.com/office/drawing/2014/main" id="{00000000-0008-0000-0200-0000B2280200}"/>
              </a:ext>
            </a:extLst>
          </xdr:cNvPr>
          <xdr:cNvSpPr/>
        </xdr:nvSpPr>
        <xdr:spPr>
          <a:xfrm>
            <a:off x="3937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91" name="QRE">
            <a:extLst>
              <a:ext uri="{FF2B5EF4-FFF2-40B4-BE49-F238E27FC236}">
                <a16:creationId xmlns:a16="http://schemas.microsoft.com/office/drawing/2014/main" id="{00000000-0008-0000-0200-0000B3280200}"/>
              </a:ext>
            </a:extLst>
          </xdr:cNvPr>
          <xdr:cNvSpPr/>
        </xdr:nvSpPr>
        <xdr:spPr>
          <a:xfrm>
            <a:off x="406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92" name="QRE">
            <a:extLst>
              <a:ext uri="{FF2B5EF4-FFF2-40B4-BE49-F238E27FC236}">
                <a16:creationId xmlns:a16="http://schemas.microsoft.com/office/drawing/2014/main" id="{00000000-0008-0000-0200-0000B4280200}"/>
              </a:ext>
            </a:extLst>
          </xdr:cNvPr>
          <xdr:cNvSpPr/>
        </xdr:nvSpPr>
        <xdr:spPr>
          <a:xfrm>
            <a:off x="419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93" name="QRE">
            <a:extLst>
              <a:ext uri="{FF2B5EF4-FFF2-40B4-BE49-F238E27FC236}">
                <a16:creationId xmlns:a16="http://schemas.microsoft.com/office/drawing/2014/main" id="{00000000-0008-0000-0200-0000B5280200}"/>
              </a:ext>
            </a:extLst>
          </xdr:cNvPr>
          <xdr:cNvSpPr/>
        </xdr:nvSpPr>
        <xdr:spPr>
          <a:xfrm>
            <a:off x="101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94" name="QRE">
            <a:extLst>
              <a:ext uri="{FF2B5EF4-FFF2-40B4-BE49-F238E27FC236}">
                <a16:creationId xmlns:a16="http://schemas.microsoft.com/office/drawing/2014/main" id="{00000000-0008-0000-0200-0000B6280200}"/>
              </a:ext>
            </a:extLst>
          </xdr:cNvPr>
          <xdr:cNvSpPr/>
        </xdr:nvSpPr>
        <xdr:spPr>
          <a:xfrm>
            <a:off x="1270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95" name="QRE">
            <a:extLst>
              <a:ext uri="{FF2B5EF4-FFF2-40B4-BE49-F238E27FC236}">
                <a16:creationId xmlns:a16="http://schemas.microsoft.com/office/drawing/2014/main" id="{00000000-0008-0000-0200-0000B7280200}"/>
              </a:ext>
            </a:extLst>
          </xdr:cNvPr>
          <xdr:cNvSpPr/>
        </xdr:nvSpPr>
        <xdr:spPr>
          <a:xfrm>
            <a:off x="165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96" name="QRE">
            <a:extLst>
              <a:ext uri="{FF2B5EF4-FFF2-40B4-BE49-F238E27FC236}">
                <a16:creationId xmlns:a16="http://schemas.microsoft.com/office/drawing/2014/main" id="{00000000-0008-0000-0200-0000B8280200}"/>
              </a:ext>
            </a:extLst>
          </xdr:cNvPr>
          <xdr:cNvSpPr/>
        </xdr:nvSpPr>
        <xdr:spPr>
          <a:xfrm>
            <a:off x="1778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97" name="QRE">
            <a:extLst>
              <a:ext uri="{FF2B5EF4-FFF2-40B4-BE49-F238E27FC236}">
                <a16:creationId xmlns:a16="http://schemas.microsoft.com/office/drawing/2014/main" id="{00000000-0008-0000-0200-0000B9280200}"/>
              </a:ext>
            </a:extLst>
          </xdr:cNvPr>
          <xdr:cNvSpPr/>
        </xdr:nvSpPr>
        <xdr:spPr>
          <a:xfrm>
            <a:off x="1905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98" name="QRE">
            <a:extLst>
              <a:ext uri="{FF2B5EF4-FFF2-40B4-BE49-F238E27FC236}">
                <a16:creationId xmlns:a16="http://schemas.microsoft.com/office/drawing/2014/main" id="{00000000-0008-0000-0200-0000BA280200}"/>
              </a:ext>
            </a:extLst>
          </xdr:cNvPr>
          <xdr:cNvSpPr/>
        </xdr:nvSpPr>
        <xdr:spPr>
          <a:xfrm>
            <a:off x="2159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99" name="QRE">
            <a:extLst>
              <a:ext uri="{FF2B5EF4-FFF2-40B4-BE49-F238E27FC236}">
                <a16:creationId xmlns:a16="http://schemas.microsoft.com/office/drawing/2014/main" id="{00000000-0008-0000-0200-0000BB280200}"/>
              </a:ext>
            </a:extLst>
          </xdr:cNvPr>
          <xdr:cNvSpPr/>
        </xdr:nvSpPr>
        <xdr:spPr>
          <a:xfrm>
            <a:off x="2413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00" name="QRE">
            <a:extLst>
              <a:ext uri="{FF2B5EF4-FFF2-40B4-BE49-F238E27FC236}">
                <a16:creationId xmlns:a16="http://schemas.microsoft.com/office/drawing/2014/main" id="{00000000-0008-0000-0200-0000BC280200}"/>
              </a:ext>
            </a:extLst>
          </xdr:cNvPr>
          <xdr:cNvSpPr/>
        </xdr:nvSpPr>
        <xdr:spPr>
          <a:xfrm>
            <a:off x="2667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01" name="QRE">
            <a:extLst>
              <a:ext uri="{FF2B5EF4-FFF2-40B4-BE49-F238E27FC236}">
                <a16:creationId xmlns:a16="http://schemas.microsoft.com/office/drawing/2014/main" id="{00000000-0008-0000-0200-0000BD280200}"/>
              </a:ext>
            </a:extLst>
          </xdr:cNvPr>
          <xdr:cNvSpPr/>
        </xdr:nvSpPr>
        <xdr:spPr>
          <a:xfrm>
            <a:off x="3175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02" name="QRE">
            <a:extLst>
              <a:ext uri="{FF2B5EF4-FFF2-40B4-BE49-F238E27FC236}">
                <a16:creationId xmlns:a16="http://schemas.microsoft.com/office/drawing/2014/main" id="{00000000-0008-0000-0200-0000BE280200}"/>
              </a:ext>
            </a:extLst>
          </xdr:cNvPr>
          <xdr:cNvSpPr/>
        </xdr:nvSpPr>
        <xdr:spPr>
          <a:xfrm>
            <a:off x="3429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03" name="QRE">
            <a:extLst>
              <a:ext uri="{FF2B5EF4-FFF2-40B4-BE49-F238E27FC236}">
                <a16:creationId xmlns:a16="http://schemas.microsoft.com/office/drawing/2014/main" id="{00000000-0008-0000-0200-0000BF280200}"/>
              </a:ext>
            </a:extLst>
          </xdr:cNvPr>
          <xdr:cNvSpPr/>
        </xdr:nvSpPr>
        <xdr:spPr>
          <a:xfrm>
            <a:off x="355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04" name="QRE">
            <a:extLst>
              <a:ext uri="{FF2B5EF4-FFF2-40B4-BE49-F238E27FC236}">
                <a16:creationId xmlns:a16="http://schemas.microsoft.com/office/drawing/2014/main" id="{00000000-0008-0000-0200-0000C0280200}"/>
              </a:ext>
            </a:extLst>
          </xdr:cNvPr>
          <xdr:cNvSpPr/>
        </xdr:nvSpPr>
        <xdr:spPr>
          <a:xfrm>
            <a:off x="4064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05" name="QRE">
            <a:extLst>
              <a:ext uri="{FF2B5EF4-FFF2-40B4-BE49-F238E27FC236}">
                <a16:creationId xmlns:a16="http://schemas.microsoft.com/office/drawing/2014/main" id="{00000000-0008-0000-0200-0000C1280200}"/>
              </a:ext>
            </a:extLst>
          </xdr:cNvPr>
          <xdr:cNvSpPr/>
        </xdr:nvSpPr>
        <xdr:spPr>
          <a:xfrm>
            <a:off x="419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06" name="QRE">
            <a:extLst>
              <a:ext uri="{FF2B5EF4-FFF2-40B4-BE49-F238E27FC236}">
                <a16:creationId xmlns:a16="http://schemas.microsoft.com/office/drawing/2014/main" id="{00000000-0008-0000-0200-0000C2280200}"/>
              </a:ext>
            </a:extLst>
          </xdr:cNvPr>
          <xdr:cNvSpPr/>
        </xdr:nvSpPr>
        <xdr:spPr>
          <a:xfrm>
            <a:off x="4445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07" name="QRE">
            <a:extLst>
              <a:ext uri="{FF2B5EF4-FFF2-40B4-BE49-F238E27FC236}">
                <a16:creationId xmlns:a16="http://schemas.microsoft.com/office/drawing/2014/main" id="{00000000-0008-0000-0200-0000C3280200}"/>
              </a:ext>
            </a:extLst>
          </xdr:cNvPr>
          <xdr:cNvSpPr/>
        </xdr:nvSpPr>
        <xdr:spPr>
          <a:xfrm>
            <a:off x="4572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08" name="QRE">
            <a:extLst>
              <a:ext uri="{FF2B5EF4-FFF2-40B4-BE49-F238E27FC236}">
                <a16:creationId xmlns:a16="http://schemas.microsoft.com/office/drawing/2014/main" id="{00000000-0008-0000-0200-0000C4280200}"/>
              </a:ext>
            </a:extLst>
          </xdr:cNvPr>
          <xdr:cNvSpPr/>
        </xdr:nvSpPr>
        <xdr:spPr>
          <a:xfrm>
            <a:off x="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09" name="QRE">
            <a:extLst>
              <a:ext uri="{FF2B5EF4-FFF2-40B4-BE49-F238E27FC236}">
                <a16:creationId xmlns:a16="http://schemas.microsoft.com/office/drawing/2014/main" id="{00000000-0008-0000-0200-0000C5280200}"/>
              </a:ext>
            </a:extLst>
          </xdr:cNvPr>
          <xdr:cNvSpPr/>
        </xdr:nvSpPr>
        <xdr:spPr>
          <a:xfrm>
            <a:off x="127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10" name="QRE">
            <a:extLst>
              <a:ext uri="{FF2B5EF4-FFF2-40B4-BE49-F238E27FC236}">
                <a16:creationId xmlns:a16="http://schemas.microsoft.com/office/drawing/2014/main" id="{00000000-0008-0000-0200-0000C6280200}"/>
              </a:ext>
            </a:extLst>
          </xdr:cNvPr>
          <xdr:cNvSpPr/>
        </xdr:nvSpPr>
        <xdr:spPr>
          <a:xfrm>
            <a:off x="25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11" name="QRE">
            <a:extLst>
              <a:ext uri="{FF2B5EF4-FFF2-40B4-BE49-F238E27FC236}">
                <a16:creationId xmlns:a16="http://schemas.microsoft.com/office/drawing/2014/main" id="{00000000-0008-0000-0200-0000C7280200}"/>
              </a:ext>
            </a:extLst>
          </xdr:cNvPr>
          <xdr:cNvSpPr/>
        </xdr:nvSpPr>
        <xdr:spPr>
          <a:xfrm>
            <a:off x="381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12" name="QRE">
            <a:extLst>
              <a:ext uri="{FF2B5EF4-FFF2-40B4-BE49-F238E27FC236}">
                <a16:creationId xmlns:a16="http://schemas.microsoft.com/office/drawing/2014/main" id="{00000000-0008-0000-0200-0000C8280200}"/>
              </a:ext>
            </a:extLst>
          </xdr:cNvPr>
          <xdr:cNvSpPr/>
        </xdr:nvSpPr>
        <xdr:spPr>
          <a:xfrm>
            <a:off x="50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13" name="QRE">
            <a:extLst>
              <a:ext uri="{FF2B5EF4-FFF2-40B4-BE49-F238E27FC236}">
                <a16:creationId xmlns:a16="http://schemas.microsoft.com/office/drawing/2014/main" id="{00000000-0008-0000-0200-0000C9280200}"/>
              </a:ext>
            </a:extLst>
          </xdr:cNvPr>
          <xdr:cNvSpPr/>
        </xdr:nvSpPr>
        <xdr:spPr>
          <a:xfrm>
            <a:off x="635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14" name="QRE">
            <a:extLst>
              <a:ext uri="{FF2B5EF4-FFF2-40B4-BE49-F238E27FC236}">
                <a16:creationId xmlns:a16="http://schemas.microsoft.com/office/drawing/2014/main" id="{00000000-0008-0000-0200-0000CA280200}"/>
              </a:ext>
            </a:extLst>
          </xdr:cNvPr>
          <xdr:cNvSpPr/>
        </xdr:nvSpPr>
        <xdr:spPr>
          <a:xfrm>
            <a:off x="76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15" name="QRE">
            <a:extLst>
              <a:ext uri="{FF2B5EF4-FFF2-40B4-BE49-F238E27FC236}">
                <a16:creationId xmlns:a16="http://schemas.microsoft.com/office/drawing/2014/main" id="{00000000-0008-0000-0200-0000CB280200}"/>
              </a:ext>
            </a:extLst>
          </xdr:cNvPr>
          <xdr:cNvSpPr/>
        </xdr:nvSpPr>
        <xdr:spPr>
          <a:xfrm>
            <a:off x="1397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16" name="QRE">
            <a:extLst>
              <a:ext uri="{FF2B5EF4-FFF2-40B4-BE49-F238E27FC236}">
                <a16:creationId xmlns:a16="http://schemas.microsoft.com/office/drawing/2014/main" id="{00000000-0008-0000-0200-0000CC280200}"/>
              </a:ext>
            </a:extLst>
          </xdr:cNvPr>
          <xdr:cNvSpPr/>
        </xdr:nvSpPr>
        <xdr:spPr>
          <a:xfrm>
            <a:off x="152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17" name="QRE">
            <a:extLst>
              <a:ext uri="{FF2B5EF4-FFF2-40B4-BE49-F238E27FC236}">
                <a16:creationId xmlns:a16="http://schemas.microsoft.com/office/drawing/2014/main" id="{00000000-0008-0000-0200-0000CD280200}"/>
              </a:ext>
            </a:extLst>
          </xdr:cNvPr>
          <xdr:cNvSpPr/>
        </xdr:nvSpPr>
        <xdr:spPr>
          <a:xfrm>
            <a:off x="1651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18" name="QRE">
            <a:extLst>
              <a:ext uri="{FF2B5EF4-FFF2-40B4-BE49-F238E27FC236}">
                <a16:creationId xmlns:a16="http://schemas.microsoft.com/office/drawing/2014/main" id="{00000000-0008-0000-0200-0000CE280200}"/>
              </a:ext>
            </a:extLst>
          </xdr:cNvPr>
          <xdr:cNvSpPr/>
        </xdr:nvSpPr>
        <xdr:spPr>
          <a:xfrm>
            <a:off x="177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19" name="QRE">
            <a:extLst>
              <a:ext uri="{FF2B5EF4-FFF2-40B4-BE49-F238E27FC236}">
                <a16:creationId xmlns:a16="http://schemas.microsoft.com/office/drawing/2014/main" id="{00000000-0008-0000-0200-0000CF280200}"/>
              </a:ext>
            </a:extLst>
          </xdr:cNvPr>
          <xdr:cNvSpPr/>
        </xdr:nvSpPr>
        <xdr:spPr>
          <a:xfrm>
            <a:off x="203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20" name="QRE">
            <a:extLst>
              <a:ext uri="{FF2B5EF4-FFF2-40B4-BE49-F238E27FC236}">
                <a16:creationId xmlns:a16="http://schemas.microsoft.com/office/drawing/2014/main" id="{00000000-0008-0000-0200-0000D0280200}"/>
              </a:ext>
            </a:extLst>
          </xdr:cNvPr>
          <xdr:cNvSpPr/>
        </xdr:nvSpPr>
        <xdr:spPr>
          <a:xfrm>
            <a:off x="2159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21" name="QRE">
            <a:extLst>
              <a:ext uri="{FF2B5EF4-FFF2-40B4-BE49-F238E27FC236}">
                <a16:creationId xmlns:a16="http://schemas.microsoft.com/office/drawing/2014/main" id="{00000000-0008-0000-0200-0000D1280200}"/>
              </a:ext>
            </a:extLst>
          </xdr:cNvPr>
          <xdr:cNvSpPr/>
        </xdr:nvSpPr>
        <xdr:spPr>
          <a:xfrm>
            <a:off x="279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22" name="QRE">
            <a:extLst>
              <a:ext uri="{FF2B5EF4-FFF2-40B4-BE49-F238E27FC236}">
                <a16:creationId xmlns:a16="http://schemas.microsoft.com/office/drawing/2014/main" id="{00000000-0008-0000-0200-0000D2280200}"/>
              </a:ext>
            </a:extLst>
          </xdr:cNvPr>
          <xdr:cNvSpPr/>
        </xdr:nvSpPr>
        <xdr:spPr>
          <a:xfrm>
            <a:off x="304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23" name="QRE">
            <a:extLst>
              <a:ext uri="{FF2B5EF4-FFF2-40B4-BE49-F238E27FC236}">
                <a16:creationId xmlns:a16="http://schemas.microsoft.com/office/drawing/2014/main" id="{00000000-0008-0000-0200-0000D3280200}"/>
              </a:ext>
            </a:extLst>
          </xdr:cNvPr>
          <xdr:cNvSpPr/>
        </xdr:nvSpPr>
        <xdr:spPr>
          <a:xfrm>
            <a:off x="3175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24" name="QRE">
            <a:extLst>
              <a:ext uri="{FF2B5EF4-FFF2-40B4-BE49-F238E27FC236}">
                <a16:creationId xmlns:a16="http://schemas.microsoft.com/office/drawing/2014/main" id="{00000000-0008-0000-0200-0000D4280200}"/>
              </a:ext>
            </a:extLst>
          </xdr:cNvPr>
          <xdr:cNvSpPr/>
        </xdr:nvSpPr>
        <xdr:spPr>
          <a:xfrm>
            <a:off x="330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25" name="QRE">
            <a:extLst>
              <a:ext uri="{FF2B5EF4-FFF2-40B4-BE49-F238E27FC236}">
                <a16:creationId xmlns:a16="http://schemas.microsoft.com/office/drawing/2014/main" id="{00000000-0008-0000-0200-0000D5280200}"/>
              </a:ext>
            </a:extLst>
          </xdr:cNvPr>
          <xdr:cNvSpPr/>
        </xdr:nvSpPr>
        <xdr:spPr>
          <a:xfrm>
            <a:off x="3556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26" name="QRE">
            <a:extLst>
              <a:ext uri="{FF2B5EF4-FFF2-40B4-BE49-F238E27FC236}">
                <a16:creationId xmlns:a16="http://schemas.microsoft.com/office/drawing/2014/main" id="{00000000-0008-0000-0200-0000D6280200}"/>
              </a:ext>
            </a:extLst>
          </xdr:cNvPr>
          <xdr:cNvSpPr/>
        </xdr:nvSpPr>
        <xdr:spPr>
          <a:xfrm>
            <a:off x="381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27" name="QRE">
            <a:extLst>
              <a:ext uri="{FF2B5EF4-FFF2-40B4-BE49-F238E27FC236}">
                <a16:creationId xmlns:a16="http://schemas.microsoft.com/office/drawing/2014/main" id="{00000000-0008-0000-0200-0000D7280200}"/>
              </a:ext>
            </a:extLst>
          </xdr:cNvPr>
          <xdr:cNvSpPr/>
        </xdr:nvSpPr>
        <xdr:spPr>
          <a:xfrm>
            <a:off x="406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28" name="QRE">
            <a:extLst>
              <a:ext uri="{FF2B5EF4-FFF2-40B4-BE49-F238E27FC236}">
                <a16:creationId xmlns:a16="http://schemas.microsoft.com/office/drawing/2014/main" id="{00000000-0008-0000-0200-0000D8280200}"/>
              </a:ext>
            </a:extLst>
          </xdr:cNvPr>
          <xdr:cNvSpPr/>
        </xdr:nvSpPr>
        <xdr:spPr>
          <a:xfrm>
            <a:off x="431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29" name="QRE">
            <a:extLst>
              <a:ext uri="{FF2B5EF4-FFF2-40B4-BE49-F238E27FC236}">
                <a16:creationId xmlns:a16="http://schemas.microsoft.com/office/drawing/2014/main" id="{00000000-0008-0000-0200-0000D9280200}"/>
              </a:ext>
            </a:extLst>
          </xdr:cNvPr>
          <xdr:cNvSpPr/>
        </xdr:nvSpPr>
        <xdr:spPr>
          <a:xfrm>
            <a:off x="4445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30" name="QRE">
            <a:extLst>
              <a:ext uri="{FF2B5EF4-FFF2-40B4-BE49-F238E27FC236}">
                <a16:creationId xmlns:a16="http://schemas.microsoft.com/office/drawing/2014/main" id="{00000000-0008-0000-0200-0000DA280200}"/>
              </a:ext>
            </a:extLst>
          </xdr:cNvPr>
          <xdr:cNvSpPr/>
        </xdr:nvSpPr>
        <xdr:spPr>
          <a:xfrm>
            <a:off x="457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31" name="QRE">
            <a:extLst>
              <a:ext uri="{FF2B5EF4-FFF2-40B4-BE49-F238E27FC236}">
                <a16:creationId xmlns:a16="http://schemas.microsoft.com/office/drawing/2014/main" id="{00000000-0008-0000-0200-0000DB280200}"/>
              </a:ext>
            </a:extLst>
          </xdr:cNvPr>
          <xdr:cNvSpPr/>
        </xdr:nvSpPr>
        <xdr:spPr>
          <a:xfrm>
            <a:off x="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32" name="QRE">
            <a:extLst>
              <a:ext uri="{FF2B5EF4-FFF2-40B4-BE49-F238E27FC236}">
                <a16:creationId xmlns:a16="http://schemas.microsoft.com/office/drawing/2014/main" id="{00000000-0008-0000-0200-0000DC280200}"/>
              </a:ext>
            </a:extLst>
          </xdr:cNvPr>
          <xdr:cNvSpPr/>
        </xdr:nvSpPr>
        <xdr:spPr>
          <a:xfrm>
            <a:off x="762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33" name="QRE">
            <a:extLst>
              <a:ext uri="{FF2B5EF4-FFF2-40B4-BE49-F238E27FC236}">
                <a16:creationId xmlns:a16="http://schemas.microsoft.com/office/drawing/2014/main" id="{00000000-0008-0000-0200-0000DD280200}"/>
              </a:ext>
            </a:extLst>
          </xdr:cNvPr>
          <xdr:cNvSpPr/>
        </xdr:nvSpPr>
        <xdr:spPr>
          <a:xfrm>
            <a:off x="1016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34" name="QRE">
            <a:extLst>
              <a:ext uri="{FF2B5EF4-FFF2-40B4-BE49-F238E27FC236}">
                <a16:creationId xmlns:a16="http://schemas.microsoft.com/office/drawing/2014/main" id="{00000000-0008-0000-0200-0000DE280200}"/>
              </a:ext>
            </a:extLst>
          </xdr:cNvPr>
          <xdr:cNvSpPr/>
        </xdr:nvSpPr>
        <xdr:spPr>
          <a:xfrm>
            <a:off x="1397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35" name="QRE">
            <a:extLst>
              <a:ext uri="{FF2B5EF4-FFF2-40B4-BE49-F238E27FC236}">
                <a16:creationId xmlns:a16="http://schemas.microsoft.com/office/drawing/2014/main" id="{00000000-0008-0000-0200-0000DF280200}"/>
              </a:ext>
            </a:extLst>
          </xdr:cNvPr>
          <xdr:cNvSpPr/>
        </xdr:nvSpPr>
        <xdr:spPr>
          <a:xfrm>
            <a:off x="1524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36" name="QRE">
            <a:extLst>
              <a:ext uri="{FF2B5EF4-FFF2-40B4-BE49-F238E27FC236}">
                <a16:creationId xmlns:a16="http://schemas.microsoft.com/office/drawing/2014/main" id="{00000000-0008-0000-0200-0000E0280200}"/>
              </a:ext>
            </a:extLst>
          </xdr:cNvPr>
          <xdr:cNvSpPr/>
        </xdr:nvSpPr>
        <xdr:spPr>
          <a:xfrm>
            <a:off x="1778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37" name="QRE">
            <a:extLst>
              <a:ext uri="{FF2B5EF4-FFF2-40B4-BE49-F238E27FC236}">
                <a16:creationId xmlns:a16="http://schemas.microsoft.com/office/drawing/2014/main" id="{00000000-0008-0000-0200-0000E1280200}"/>
              </a:ext>
            </a:extLst>
          </xdr:cNvPr>
          <xdr:cNvSpPr/>
        </xdr:nvSpPr>
        <xdr:spPr>
          <a:xfrm>
            <a:off x="1905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38" name="QRE">
            <a:extLst>
              <a:ext uri="{FF2B5EF4-FFF2-40B4-BE49-F238E27FC236}">
                <a16:creationId xmlns:a16="http://schemas.microsoft.com/office/drawing/2014/main" id="{00000000-0008-0000-0200-0000E2280200}"/>
              </a:ext>
            </a:extLst>
          </xdr:cNvPr>
          <xdr:cNvSpPr/>
        </xdr:nvSpPr>
        <xdr:spPr>
          <a:xfrm>
            <a:off x="2032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39" name="QRE">
            <a:extLst>
              <a:ext uri="{FF2B5EF4-FFF2-40B4-BE49-F238E27FC236}">
                <a16:creationId xmlns:a16="http://schemas.microsoft.com/office/drawing/2014/main" id="{00000000-0008-0000-0200-0000E3280200}"/>
              </a:ext>
            </a:extLst>
          </xdr:cNvPr>
          <xdr:cNvSpPr/>
        </xdr:nvSpPr>
        <xdr:spPr>
          <a:xfrm>
            <a:off x="2159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40" name="QRE">
            <a:extLst>
              <a:ext uri="{FF2B5EF4-FFF2-40B4-BE49-F238E27FC236}">
                <a16:creationId xmlns:a16="http://schemas.microsoft.com/office/drawing/2014/main" id="{00000000-0008-0000-0200-0000E4280200}"/>
              </a:ext>
            </a:extLst>
          </xdr:cNvPr>
          <xdr:cNvSpPr/>
        </xdr:nvSpPr>
        <xdr:spPr>
          <a:xfrm>
            <a:off x="2413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41" name="QRE">
            <a:extLst>
              <a:ext uri="{FF2B5EF4-FFF2-40B4-BE49-F238E27FC236}">
                <a16:creationId xmlns:a16="http://schemas.microsoft.com/office/drawing/2014/main" id="{00000000-0008-0000-0200-0000E5280200}"/>
              </a:ext>
            </a:extLst>
          </xdr:cNvPr>
          <xdr:cNvSpPr/>
        </xdr:nvSpPr>
        <xdr:spPr>
          <a:xfrm>
            <a:off x="2794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42" name="QRE">
            <a:extLst>
              <a:ext uri="{FF2B5EF4-FFF2-40B4-BE49-F238E27FC236}">
                <a16:creationId xmlns:a16="http://schemas.microsoft.com/office/drawing/2014/main" id="{00000000-0008-0000-0200-0000E6280200}"/>
              </a:ext>
            </a:extLst>
          </xdr:cNvPr>
          <xdr:cNvSpPr/>
        </xdr:nvSpPr>
        <xdr:spPr>
          <a:xfrm>
            <a:off x="2921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43" name="QRE">
            <a:extLst>
              <a:ext uri="{FF2B5EF4-FFF2-40B4-BE49-F238E27FC236}">
                <a16:creationId xmlns:a16="http://schemas.microsoft.com/office/drawing/2014/main" id="{00000000-0008-0000-0200-0000E7280200}"/>
              </a:ext>
            </a:extLst>
          </xdr:cNvPr>
          <xdr:cNvSpPr/>
        </xdr:nvSpPr>
        <xdr:spPr>
          <a:xfrm>
            <a:off x="3302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44" name="QRE">
            <a:extLst>
              <a:ext uri="{FF2B5EF4-FFF2-40B4-BE49-F238E27FC236}">
                <a16:creationId xmlns:a16="http://schemas.microsoft.com/office/drawing/2014/main" id="{00000000-0008-0000-0200-0000E8280200}"/>
              </a:ext>
            </a:extLst>
          </xdr:cNvPr>
          <xdr:cNvSpPr/>
        </xdr:nvSpPr>
        <xdr:spPr>
          <a:xfrm>
            <a:off x="3429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45" name="QRE">
            <a:extLst>
              <a:ext uri="{FF2B5EF4-FFF2-40B4-BE49-F238E27FC236}">
                <a16:creationId xmlns:a16="http://schemas.microsoft.com/office/drawing/2014/main" id="{00000000-0008-0000-0200-0000E9280200}"/>
              </a:ext>
            </a:extLst>
          </xdr:cNvPr>
          <xdr:cNvSpPr/>
        </xdr:nvSpPr>
        <xdr:spPr>
          <a:xfrm>
            <a:off x="3556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46" name="QRE">
            <a:extLst>
              <a:ext uri="{FF2B5EF4-FFF2-40B4-BE49-F238E27FC236}">
                <a16:creationId xmlns:a16="http://schemas.microsoft.com/office/drawing/2014/main" id="{00000000-0008-0000-0200-0000EA280200}"/>
              </a:ext>
            </a:extLst>
          </xdr:cNvPr>
          <xdr:cNvSpPr/>
        </xdr:nvSpPr>
        <xdr:spPr>
          <a:xfrm>
            <a:off x="4064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47" name="QRE">
            <a:extLst>
              <a:ext uri="{FF2B5EF4-FFF2-40B4-BE49-F238E27FC236}">
                <a16:creationId xmlns:a16="http://schemas.microsoft.com/office/drawing/2014/main" id="{00000000-0008-0000-0200-0000EB280200}"/>
              </a:ext>
            </a:extLst>
          </xdr:cNvPr>
          <xdr:cNvSpPr/>
        </xdr:nvSpPr>
        <xdr:spPr>
          <a:xfrm>
            <a:off x="4191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48" name="QRE">
            <a:extLst>
              <a:ext uri="{FF2B5EF4-FFF2-40B4-BE49-F238E27FC236}">
                <a16:creationId xmlns:a16="http://schemas.microsoft.com/office/drawing/2014/main" id="{00000000-0008-0000-0200-0000EC280200}"/>
              </a:ext>
            </a:extLst>
          </xdr:cNvPr>
          <xdr:cNvSpPr/>
        </xdr:nvSpPr>
        <xdr:spPr>
          <a:xfrm>
            <a:off x="4318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49" name="QRE">
            <a:extLst>
              <a:ext uri="{FF2B5EF4-FFF2-40B4-BE49-F238E27FC236}">
                <a16:creationId xmlns:a16="http://schemas.microsoft.com/office/drawing/2014/main" id="{00000000-0008-0000-0200-0000ED280200}"/>
              </a:ext>
            </a:extLst>
          </xdr:cNvPr>
          <xdr:cNvSpPr/>
        </xdr:nvSpPr>
        <xdr:spPr>
          <a:xfrm>
            <a:off x="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50" name="QRE">
            <a:extLst>
              <a:ext uri="{FF2B5EF4-FFF2-40B4-BE49-F238E27FC236}">
                <a16:creationId xmlns:a16="http://schemas.microsoft.com/office/drawing/2014/main" id="{00000000-0008-0000-0200-0000EE280200}"/>
              </a:ext>
            </a:extLst>
          </xdr:cNvPr>
          <xdr:cNvSpPr/>
        </xdr:nvSpPr>
        <xdr:spPr>
          <a:xfrm>
            <a:off x="25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51" name="QRE">
            <a:extLst>
              <a:ext uri="{FF2B5EF4-FFF2-40B4-BE49-F238E27FC236}">
                <a16:creationId xmlns:a16="http://schemas.microsoft.com/office/drawing/2014/main" id="{00000000-0008-0000-0200-0000EF280200}"/>
              </a:ext>
            </a:extLst>
          </xdr:cNvPr>
          <xdr:cNvSpPr/>
        </xdr:nvSpPr>
        <xdr:spPr>
          <a:xfrm>
            <a:off x="38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52" name="QRE">
            <a:extLst>
              <a:ext uri="{FF2B5EF4-FFF2-40B4-BE49-F238E27FC236}">
                <a16:creationId xmlns:a16="http://schemas.microsoft.com/office/drawing/2014/main" id="{00000000-0008-0000-0200-0000F0280200}"/>
              </a:ext>
            </a:extLst>
          </xdr:cNvPr>
          <xdr:cNvSpPr/>
        </xdr:nvSpPr>
        <xdr:spPr>
          <a:xfrm>
            <a:off x="50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53" name="QRE">
            <a:extLst>
              <a:ext uri="{FF2B5EF4-FFF2-40B4-BE49-F238E27FC236}">
                <a16:creationId xmlns:a16="http://schemas.microsoft.com/office/drawing/2014/main" id="{00000000-0008-0000-0200-0000F1280200}"/>
              </a:ext>
            </a:extLst>
          </xdr:cNvPr>
          <xdr:cNvSpPr/>
        </xdr:nvSpPr>
        <xdr:spPr>
          <a:xfrm>
            <a:off x="762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54" name="QRE">
            <a:extLst>
              <a:ext uri="{FF2B5EF4-FFF2-40B4-BE49-F238E27FC236}">
                <a16:creationId xmlns:a16="http://schemas.microsoft.com/office/drawing/2014/main" id="{00000000-0008-0000-0200-0000F2280200}"/>
              </a:ext>
            </a:extLst>
          </xdr:cNvPr>
          <xdr:cNvSpPr/>
        </xdr:nvSpPr>
        <xdr:spPr>
          <a:xfrm>
            <a:off x="1143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55" name="QRE">
            <a:extLst>
              <a:ext uri="{FF2B5EF4-FFF2-40B4-BE49-F238E27FC236}">
                <a16:creationId xmlns:a16="http://schemas.microsoft.com/office/drawing/2014/main" id="{00000000-0008-0000-0200-0000F3280200}"/>
              </a:ext>
            </a:extLst>
          </xdr:cNvPr>
          <xdr:cNvSpPr/>
        </xdr:nvSpPr>
        <xdr:spPr>
          <a:xfrm>
            <a:off x="1270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56" name="QRE">
            <a:extLst>
              <a:ext uri="{FF2B5EF4-FFF2-40B4-BE49-F238E27FC236}">
                <a16:creationId xmlns:a16="http://schemas.microsoft.com/office/drawing/2014/main" id="{00000000-0008-0000-0200-0000F4280200}"/>
              </a:ext>
            </a:extLst>
          </xdr:cNvPr>
          <xdr:cNvSpPr/>
        </xdr:nvSpPr>
        <xdr:spPr>
          <a:xfrm>
            <a:off x="139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57" name="QRE">
            <a:extLst>
              <a:ext uri="{FF2B5EF4-FFF2-40B4-BE49-F238E27FC236}">
                <a16:creationId xmlns:a16="http://schemas.microsoft.com/office/drawing/2014/main" id="{00000000-0008-0000-0200-0000F5280200}"/>
              </a:ext>
            </a:extLst>
          </xdr:cNvPr>
          <xdr:cNvSpPr/>
        </xdr:nvSpPr>
        <xdr:spPr>
          <a:xfrm>
            <a:off x="165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58" name="QRE">
            <a:extLst>
              <a:ext uri="{FF2B5EF4-FFF2-40B4-BE49-F238E27FC236}">
                <a16:creationId xmlns:a16="http://schemas.microsoft.com/office/drawing/2014/main" id="{00000000-0008-0000-0200-0000F6280200}"/>
              </a:ext>
            </a:extLst>
          </xdr:cNvPr>
          <xdr:cNvSpPr/>
        </xdr:nvSpPr>
        <xdr:spPr>
          <a:xfrm>
            <a:off x="2032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59" name="QRE">
            <a:extLst>
              <a:ext uri="{FF2B5EF4-FFF2-40B4-BE49-F238E27FC236}">
                <a16:creationId xmlns:a16="http://schemas.microsoft.com/office/drawing/2014/main" id="{00000000-0008-0000-0200-0000F7280200}"/>
              </a:ext>
            </a:extLst>
          </xdr:cNvPr>
          <xdr:cNvSpPr/>
        </xdr:nvSpPr>
        <xdr:spPr>
          <a:xfrm>
            <a:off x="2413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60" name="QRE">
            <a:extLst>
              <a:ext uri="{FF2B5EF4-FFF2-40B4-BE49-F238E27FC236}">
                <a16:creationId xmlns:a16="http://schemas.microsoft.com/office/drawing/2014/main" id="{00000000-0008-0000-0200-0000F8280200}"/>
              </a:ext>
            </a:extLst>
          </xdr:cNvPr>
          <xdr:cNvSpPr/>
        </xdr:nvSpPr>
        <xdr:spPr>
          <a:xfrm>
            <a:off x="2540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61" name="QRE">
            <a:extLst>
              <a:ext uri="{FF2B5EF4-FFF2-40B4-BE49-F238E27FC236}">
                <a16:creationId xmlns:a16="http://schemas.microsoft.com/office/drawing/2014/main" id="{00000000-0008-0000-0200-0000F9280200}"/>
              </a:ext>
            </a:extLst>
          </xdr:cNvPr>
          <xdr:cNvSpPr/>
        </xdr:nvSpPr>
        <xdr:spPr>
          <a:xfrm>
            <a:off x="292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62" name="QRE">
            <a:extLst>
              <a:ext uri="{FF2B5EF4-FFF2-40B4-BE49-F238E27FC236}">
                <a16:creationId xmlns:a16="http://schemas.microsoft.com/office/drawing/2014/main" id="{00000000-0008-0000-0200-0000FA280200}"/>
              </a:ext>
            </a:extLst>
          </xdr:cNvPr>
          <xdr:cNvSpPr/>
        </xdr:nvSpPr>
        <xdr:spPr>
          <a:xfrm>
            <a:off x="304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63" name="QRE">
            <a:extLst>
              <a:ext uri="{FF2B5EF4-FFF2-40B4-BE49-F238E27FC236}">
                <a16:creationId xmlns:a16="http://schemas.microsoft.com/office/drawing/2014/main" id="{00000000-0008-0000-0200-0000FB280200}"/>
              </a:ext>
            </a:extLst>
          </xdr:cNvPr>
          <xdr:cNvSpPr/>
        </xdr:nvSpPr>
        <xdr:spPr>
          <a:xfrm>
            <a:off x="317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64" name="QRE">
            <a:extLst>
              <a:ext uri="{FF2B5EF4-FFF2-40B4-BE49-F238E27FC236}">
                <a16:creationId xmlns:a16="http://schemas.microsoft.com/office/drawing/2014/main" id="{00000000-0008-0000-0200-0000FC280200}"/>
              </a:ext>
            </a:extLst>
          </xdr:cNvPr>
          <xdr:cNvSpPr/>
        </xdr:nvSpPr>
        <xdr:spPr>
          <a:xfrm>
            <a:off x="3302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65" name="QRE">
            <a:extLst>
              <a:ext uri="{FF2B5EF4-FFF2-40B4-BE49-F238E27FC236}">
                <a16:creationId xmlns:a16="http://schemas.microsoft.com/office/drawing/2014/main" id="{00000000-0008-0000-0200-0000FD280200}"/>
              </a:ext>
            </a:extLst>
          </xdr:cNvPr>
          <xdr:cNvSpPr/>
        </xdr:nvSpPr>
        <xdr:spPr>
          <a:xfrm>
            <a:off x="355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66" name="QRE">
            <a:extLst>
              <a:ext uri="{FF2B5EF4-FFF2-40B4-BE49-F238E27FC236}">
                <a16:creationId xmlns:a16="http://schemas.microsoft.com/office/drawing/2014/main" id="{00000000-0008-0000-0200-0000FE280200}"/>
              </a:ext>
            </a:extLst>
          </xdr:cNvPr>
          <xdr:cNvSpPr/>
        </xdr:nvSpPr>
        <xdr:spPr>
          <a:xfrm>
            <a:off x="3683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67" name="QRE">
            <a:extLst>
              <a:ext uri="{FF2B5EF4-FFF2-40B4-BE49-F238E27FC236}">
                <a16:creationId xmlns:a16="http://schemas.microsoft.com/office/drawing/2014/main" id="{00000000-0008-0000-0200-0000FF280200}"/>
              </a:ext>
            </a:extLst>
          </xdr:cNvPr>
          <xdr:cNvSpPr/>
        </xdr:nvSpPr>
        <xdr:spPr>
          <a:xfrm>
            <a:off x="3810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68" name="QRE">
            <a:extLst>
              <a:ext uri="{FF2B5EF4-FFF2-40B4-BE49-F238E27FC236}">
                <a16:creationId xmlns:a16="http://schemas.microsoft.com/office/drawing/2014/main" id="{00000000-0008-0000-0200-000000290200}"/>
              </a:ext>
            </a:extLst>
          </xdr:cNvPr>
          <xdr:cNvSpPr/>
        </xdr:nvSpPr>
        <xdr:spPr>
          <a:xfrm>
            <a:off x="393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69" name="QRE">
            <a:extLst>
              <a:ext uri="{FF2B5EF4-FFF2-40B4-BE49-F238E27FC236}">
                <a16:creationId xmlns:a16="http://schemas.microsoft.com/office/drawing/2014/main" id="{00000000-0008-0000-0200-000001290200}"/>
              </a:ext>
            </a:extLst>
          </xdr:cNvPr>
          <xdr:cNvSpPr/>
        </xdr:nvSpPr>
        <xdr:spPr>
          <a:xfrm>
            <a:off x="406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70" name="QRE">
            <a:extLst>
              <a:ext uri="{FF2B5EF4-FFF2-40B4-BE49-F238E27FC236}">
                <a16:creationId xmlns:a16="http://schemas.microsoft.com/office/drawing/2014/main" id="{00000000-0008-0000-0200-000002290200}"/>
              </a:ext>
            </a:extLst>
          </xdr:cNvPr>
          <xdr:cNvSpPr/>
        </xdr:nvSpPr>
        <xdr:spPr>
          <a:xfrm>
            <a:off x="431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71" name="QRE">
            <a:extLst>
              <a:ext uri="{FF2B5EF4-FFF2-40B4-BE49-F238E27FC236}">
                <a16:creationId xmlns:a16="http://schemas.microsoft.com/office/drawing/2014/main" id="{00000000-0008-0000-0200-000003290200}"/>
              </a:ext>
            </a:extLst>
          </xdr:cNvPr>
          <xdr:cNvSpPr/>
        </xdr:nvSpPr>
        <xdr:spPr>
          <a:xfrm>
            <a:off x="444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72" name="QRE">
            <a:extLst>
              <a:ext uri="{FF2B5EF4-FFF2-40B4-BE49-F238E27FC236}">
                <a16:creationId xmlns:a16="http://schemas.microsoft.com/office/drawing/2014/main" id="{00000000-0008-0000-0200-000004290200}"/>
              </a:ext>
            </a:extLst>
          </xdr:cNvPr>
          <xdr:cNvSpPr/>
        </xdr:nvSpPr>
        <xdr:spPr>
          <a:xfrm>
            <a:off x="4572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73" name="QRE">
            <a:extLst>
              <a:ext uri="{FF2B5EF4-FFF2-40B4-BE49-F238E27FC236}">
                <a16:creationId xmlns:a16="http://schemas.microsoft.com/office/drawing/2014/main" id="{00000000-0008-0000-0200-000005290200}"/>
              </a:ext>
            </a:extLst>
          </xdr:cNvPr>
          <xdr:cNvSpPr/>
        </xdr:nvSpPr>
        <xdr:spPr>
          <a:xfrm>
            <a:off x="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74" name="QRE">
            <a:extLst>
              <a:ext uri="{FF2B5EF4-FFF2-40B4-BE49-F238E27FC236}">
                <a16:creationId xmlns:a16="http://schemas.microsoft.com/office/drawing/2014/main" id="{00000000-0008-0000-0200-000006290200}"/>
              </a:ext>
            </a:extLst>
          </xdr:cNvPr>
          <xdr:cNvSpPr/>
        </xdr:nvSpPr>
        <xdr:spPr>
          <a:xfrm>
            <a:off x="254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75" name="QRE">
            <a:extLst>
              <a:ext uri="{FF2B5EF4-FFF2-40B4-BE49-F238E27FC236}">
                <a16:creationId xmlns:a16="http://schemas.microsoft.com/office/drawing/2014/main" id="{00000000-0008-0000-0200-000007290200}"/>
              </a:ext>
            </a:extLst>
          </xdr:cNvPr>
          <xdr:cNvSpPr/>
        </xdr:nvSpPr>
        <xdr:spPr>
          <a:xfrm>
            <a:off x="381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76" name="QRE">
            <a:extLst>
              <a:ext uri="{FF2B5EF4-FFF2-40B4-BE49-F238E27FC236}">
                <a16:creationId xmlns:a16="http://schemas.microsoft.com/office/drawing/2014/main" id="{00000000-0008-0000-0200-000008290200}"/>
              </a:ext>
            </a:extLst>
          </xdr:cNvPr>
          <xdr:cNvSpPr/>
        </xdr:nvSpPr>
        <xdr:spPr>
          <a:xfrm>
            <a:off x="508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77" name="QRE">
            <a:extLst>
              <a:ext uri="{FF2B5EF4-FFF2-40B4-BE49-F238E27FC236}">
                <a16:creationId xmlns:a16="http://schemas.microsoft.com/office/drawing/2014/main" id="{00000000-0008-0000-0200-000009290200}"/>
              </a:ext>
            </a:extLst>
          </xdr:cNvPr>
          <xdr:cNvSpPr/>
        </xdr:nvSpPr>
        <xdr:spPr>
          <a:xfrm>
            <a:off x="762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78" name="QRE">
            <a:extLst>
              <a:ext uri="{FF2B5EF4-FFF2-40B4-BE49-F238E27FC236}">
                <a16:creationId xmlns:a16="http://schemas.microsoft.com/office/drawing/2014/main" id="{00000000-0008-0000-0200-00000A290200}"/>
              </a:ext>
            </a:extLst>
          </xdr:cNvPr>
          <xdr:cNvSpPr/>
        </xdr:nvSpPr>
        <xdr:spPr>
          <a:xfrm>
            <a:off x="1016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79" name="QRE">
            <a:extLst>
              <a:ext uri="{FF2B5EF4-FFF2-40B4-BE49-F238E27FC236}">
                <a16:creationId xmlns:a16="http://schemas.microsoft.com/office/drawing/2014/main" id="{00000000-0008-0000-0200-00000B290200}"/>
              </a:ext>
            </a:extLst>
          </xdr:cNvPr>
          <xdr:cNvSpPr/>
        </xdr:nvSpPr>
        <xdr:spPr>
          <a:xfrm>
            <a:off x="1143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80" name="QRE">
            <a:extLst>
              <a:ext uri="{FF2B5EF4-FFF2-40B4-BE49-F238E27FC236}">
                <a16:creationId xmlns:a16="http://schemas.microsoft.com/office/drawing/2014/main" id="{00000000-0008-0000-0200-00000C290200}"/>
              </a:ext>
            </a:extLst>
          </xdr:cNvPr>
          <xdr:cNvSpPr/>
        </xdr:nvSpPr>
        <xdr:spPr>
          <a:xfrm>
            <a:off x="1270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81" name="QRE">
            <a:extLst>
              <a:ext uri="{FF2B5EF4-FFF2-40B4-BE49-F238E27FC236}">
                <a16:creationId xmlns:a16="http://schemas.microsoft.com/office/drawing/2014/main" id="{00000000-0008-0000-0200-00000D290200}"/>
              </a:ext>
            </a:extLst>
          </xdr:cNvPr>
          <xdr:cNvSpPr/>
        </xdr:nvSpPr>
        <xdr:spPr>
          <a:xfrm>
            <a:off x="1397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82" name="QRE">
            <a:extLst>
              <a:ext uri="{FF2B5EF4-FFF2-40B4-BE49-F238E27FC236}">
                <a16:creationId xmlns:a16="http://schemas.microsoft.com/office/drawing/2014/main" id="{00000000-0008-0000-0200-00000E290200}"/>
              </a:ext>
            </a:extLst>
          </xdr:cNvPr>
          <xdr:cNvSpPr/>
        </xdr:nvSpPr>
        <xdr:spPr>
          <a:xfrm>
            <a:off x="1524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83" name="QRE">
            <a:extLst>
              <a:ext uri="{FF2B5EF4-FFF2-40B4-BE49-F238E27FC236}">
                <a16:creationId xmlns:a16="http://schemas.microsoft.com/office/drawing/2014/main" id="{00000000-0008-0000-0200-00000F290200}"/>
              </a:ext>
            </a:extLst>
          </xdr:cNvPr>
          <xdr:cNvSpPr/>
        </xdr:nvSpPr>
        <xdr:spPr>
          <a:xfrm>
            <a:off x="1778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84" name="QRE">
            <a:extLst>
              <a:ext uri="{FF2B5EF4-FFF2-40B4-BE49-F238E27FC236}">
                <a16:creationId xmlns:a16="http://schemas.microsoft.com/office/drawing/2014/main" id="{00000000-0008-0000-0200-000010290200}"/>
              </a:ext>
            </a:extLst>
          </xdr:cNvPr>
          <xdr:cNvSpPr/>
        </xdr:nvSpPr>
        <xdr:spPr>
          <a:xfrm>
            <a:off x="1905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85" name="QRE">
            <a:extLst>
              <a:ext uri="{FF2B5EF4-FFF2-40B4-BE49-F238E27FC236}">
                <a16:creationId xmlns:a16="http://schemas.microsoft.com/office/drawing/2014/main" id="{00000000-0008-0000-0200-000011290200}"/>
              </a:ext>
            </a:extLst>
          </xdr:cNvPr>
          <xdr:cNvSpPr/>
        </xdr:nvSpPr>
        <xdr:spPr>
          <a:xfrm>
            <a:off x="2159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86" name="QRE">
            <a:extLst>
              <a:ext uri="{FF2B5EF4-FFF2-40B4-BE49-F238E27FC236}">
                <a16:creationId xmlns:a16="http://schemas.microsoft.com/office/drawing/2014/main" id="{00000000-0008-0000-0200-000012290200}"/>
              </a:ext>
            </a:extLst>
          </xdr:cNvPr>
          <xdr:cNvSpPr/>
        </xdr:nvSpPr>
        <xdr:spPr>
          <a:xfrm>
            <a:off x="2286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87" name="QRE">
            <a:extLst>
              <a:ext uri="{FF2B5EF4-FFF2-40B4-BE49-F238E27FC236}">
                <a16:creationId xmlns:a16="http://schemas.microsoft.com/office/drawing/2014/main" id="{00000000-0008-0000-0200-000013290200}"/>
              </a:ext>
            </a:extLst>
          </xdr:cNvPr>
          <xdr:cNvSpPr/>
        </xdr:nvSpPr>
        <xdr:spPr>
          <a:xfrm>
            <a:off x="2413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88" name="QRE">
            <a:extLst>
              <a:ext uri="{FF2B5EF4-FFF2-40B4-BE49-F238E27FC236}">
                <a16:creationId xmlns:a16="http://schemas.microsoft.com/office/drawing/2014/main" id="{00000000-0008-0000-0200-000014290200}"/>
              </a:ext>
            </a:extLst>
          </xdr:cNvPr>
          <xdr:cNvSpPr/>
        </xdr:nvSpPr>
        <xdr:spPr>
          <a:xfrm>
            <a:off x="2540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89" name="QRE">
            <a:extLst>
              <a:ext uri="{FF2B5EF4-FFF2-40B4-BE49-F238E27FC236}">
                <a16:creationId xmlns:a16="http://schemas.microsoft.com/office/drawing/2014/main" id="{00000000-0008-0000-0200-000015290200}"/>
              </a:ext>
            </a:extLst>
          </xdr:cNvPr>
          <xdr:cNvSpPr/>
        </xdr:nvSpPr>
        <xdr:spPr>
          <a:xfrm>
            <a:off x="2794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90" name="QRE">
            <a:extLst>
              <a:ext uri="{FF2B5EF4-FFF2-40B4-BE49-F238E27FC236}">
                <a16:creationId xmlns:a16="http://schemas.microsoft.com/office/drawing/2014/main" id="{00000000-0008-0000-0200-000016290200}"/>
              </a:ext>
            </a:extLst>
          </xdr:cNvPr>
          <xdr:cNvSpPr/>
        </xdr:nvSpPr>
        <xdr:spPr>
          <a:xfrm>
            <a:off x="3048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91" name="QRE">
            <a:extLst>
              <a:ext uri="{FF2B5EF4-FFF2-40B4-BE49-F238E27FC236}">
                <a16:creationId xmlns:a16="http://schemas.microsoft.com/office/drawing/2014/main" id="{00000000-0008-0000-0200-000017290200}"/>
              </a:ext>
            </a:extLst>
          </xdr:cNvPr>
          <xdr:cNvSpPr/>
        </xdr:nvSpPr>
        <xdr:spPr>
          <a:xfrm>
            <a:off x="3175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92" name="QRE">
            <a:extLst>
              <a:ext uri="{FF2B5EF4-FFF2-40B4-BE49-F238E27FC236}">
                <a16:creationId xmlns:a16="http://schemas.microsoft.com/office/drawing/2014/main" id="{00000000-0008-0000-0200-000018290200}"/>
              </a:ext>
            </a:extLst>
          </xdr:cNvPr>
          <xdr:cNvSpPr/>
        </xdr:nvSpPr>
        <xdr:spPr>
          <a:xfrm>
            <a:off x="3429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93" name="QRE">
            <a:extLst>
              <a:ext uri="{FF2B5EF4-FFF2-40B4-BE49-F238E27FC236}">
                <a16:creationId xmlns:a16="http://schemas.microsoft.com/office/drawing/2014/main" id="{00000000-0008-0000-0200-000019290200}"/>
              </a:ext>
            </a:extLst>
          </xdr:cNvPr>
          <xdr:cNvSpPr/>
        </xdr:nvSpPr>
        <xdr:spPr>
          <a:xfrm>
            <a:off x="3683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94" name="QRE">
            <a:extLst>
              <a:ext uri="{FF2B5EF4-FFF2-40B4-BE49-F238E27FC236}">
                <a16:creationId xmlns:a16="http://schemas.microsoft.com/office/drawing/2014/main" id="{00000000-0008-0000-0200-00001A290200}"/>
              </a:ext>
            </a:extLst>
          </xdr:cNvPr>
          <xdr:cNvSpPr/>
        </xdr:nvSpPr>
        <xdr:spPr>
          <a:xfrm>
            <a:off x="3810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95" name="QRE">
            <a:extLst>
              <a:ext uri="{FF2B5EF4-FFF2-40B4-BE49-F238E27FC236}">
                <a16:creationId xmlns:a16="http://schemas.microsoft.com/office/drawing/2014/main" id="{00000000-0008-0000-0200-00001B290200}"/>
              </a:ext>
            </a:extLst>
          </xdr:cNvPr>
          <xdr:cNvSpPr/>
        </xdr:nvSpPr>
        <xdr:spPr>
          <a:xfrm>
            <a:off x="3937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96" name="QRE">
            <a:extLst>
              <a:ext uri="{FF2B5EF4-FFF2-40B4-BE49-F238E27FC236}">
                <a16:creationId xmlns:a16="http://schemas.microsoft.com/office/drawing/2014/main" id="{00000000-0008-0000-0200-00001C290200}"/>
              </a:ext>
            </a:extLst>
          </xdr:cNvPr>
          <xdr:cNvSpPr/>
        </xdr:nvSpPr>
        <xdr:spPr>
          <a:xfrm>
            <a:off x="4572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97" name="QRE">
            <a:extLst>
              <a:ext uri="{FF2B5EF4-FFF2-40B4-BE49-F238E27FC236}">
                <a16:creationId xmlns:a16="http://schemas.microsoft.com/office/drawing/2014/main" id="{00000000-0008-0000-0200-00001D290200}"/>
              </a:ext>
            </a:extLst>
          </xdr:cNvPr>
          <xdr:cNvSpPr/>
        </xdr:nvSpPr>
        <xdr:spPr>
          <a:xfrm>
            <a:off x="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98" name="QRE">
            <a:extLst>
              <a:ext uri="{FF2B5EF4-FFF2-40B4-BE49-F238E27FC236}">
                <a16:creationId xmlns:a16="http://schemas.microsoft.com/office/drawing/2014/main" id="{00000000-0008-0000-0200-00001E290200}"/>
              </a:ext>
            </a:extLst>
          </xdr:cNvPr>
          <xdr:cNvSpPr/>
        </xdr:nvSpPr>
        <xdr:spPr>
          <a:xfrm>
            <a:off x="254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99" name="QRE">
            <a:extLst>
              <a:ext uri="{FF2B5EF4-FFF2-40B4-BE49-F238E27FC236}">
                <a16:creationId xmlns:a16="http://schemas.microsoft.com/office/drawing/2014/main" id="{00000000-0008-0000-0200-00001F290200}"/>
              </a:ext>
            </a:extLst>
          </xdr:cNvPr>
          <xdr:cNvSpPr/>
        </xdr:nvSpPr>
        <xdr:spPr>
          <a:xfrm>
            <a:off x="381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600" name="QRE">
            <a:extLst>
              <a:ext uri="{FF2B5EF4-FFF2-40B4-BE49-F238E27FC236}">
                <a16:creationId xmlns:a16="http://schemas.microsoft.com/office/drawing/2014/main" id="{00000000-0008-0000-0200-000020290200}"/>
              </a:ext>
            </a:extLst>
          </xdr:cNvPr>
          <xdr:cNvSpPr/>
        </xdr:nvSpPr>
        <xdr:spPr>
          <a:xfrm>
            <a:off x="508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601" name="QRE">
            <a:extLst>
              <a:ext uri="{FF2B5EF4-FFF2-40B4-BE49-F238E27FC236}">
                <a16:creationId xmlns:a16="http://schemas.microsoft.com/office/drawing/2014/main" id="{00000000-0008-0000-0200-000021290200}"/>
              </a:ext>
            </a:extLst>
          </xdr:cNvPr>
          <xdr:cNvSpPr/>
        </xdr:nvSpPr>
        <xdr:spPr>
          <a:xfrm>
            <a:off x="762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602" name="QRE">
            <a:extLst>
              <a:ext uri="{FF2B5EF4-FFF2-40B4-BE49-F238E27FC236}">
                <a16:creationId xmlns:a16="http://schemas.microsoft.com/office/drawing/2014/main" id="{00000000-0008-0000-0200-000022290200}"/>
              </a:ext>
            </a:extLst>
          </xdr:cNvPr>
          <xdr:cNvSpPr/>
        </xdr:nvSpPr>
        <xdr:spPr>
          <a:xfrm>
            <a:off x="1270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603" name="QRE">
            <a:extLst>
              <a:ext uri="{FF2B5EF4-FFF2-40B4-BE49-F238E27FC236}">
                <a16:creationId xmlns:a16="http://schemas.microsoft.com/office/drawing/2014/main" id="{00000000-0008-0000-0200-000023290200}"/>
              </a:ext>
            </a:extLst>
          </xdr:cNvPr>
          <xdr:cNvSpPr/>
        </xdr:nvSpPr>
        <xdr:spPr>
          <a:xfrm>
            <a:off x="1651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604" name="QRE">
            <a:extLst>
              <a:ext uri="{FF2B5EF4-FFF2-40B4-BE49-F238E27FC236}">
                <a16:creationId xmlns:a16="http://schemas.microsoft.com/office/drawing/2014/main" id="{00000000-0008-0000-0200-000024290200}"/>
              </a:ext>
            </a:extLst>
          </xdr:cNvPr>
          <xdr:cNvSpPr/>
        </xdr:nvSpPr>
        <xdr:spPr>
          <a:xfrm>
            <a:off x="2159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605" name="QRE">
            <a:extLst>
              <a:ext uri="{FF2B5EF4-FFF2-40B4-BE49-F238E27FC236}">
                <a16:creationId xmlns:a16="http://schemas.microsoft.com/office/drawing/2014/main" id="{00000000-0008-0000-0200-000025290200}"/>
              </a:ext>
            </a:extLst>
          </xdr:cNvPr>
          <xdr:cNvSpPr/>
        </xdr:nvSpPr>
        <xdr:spPr>
          <a:xfrm>
            <a:off x="2921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606" name="QRE">
            <a:extLst>
              <a:ext uri="{FF2B5EF4-FFF2-40B4-BE49-F238E27FC236}">
                <a16:creationId xmlns:a16="http://schemas.microsoft.com/office/drawing/2014/main" id="{00000000-0008-0000-0200-000026290200}"/>
              </a:ext>
            </a:extLst>
          </xdr:cNvPr>
          <xdr:cNvSpPr/>
        </xdr:nvSpPr>
        <xdr:spPr>
          <a:xfrm>
            <a:off x="3810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607" name="QRE">
            <a:extLst>
              <a:ext uri="{FF2B5EF4-FFF2-40B4-BE49-F238E27FC236}">
                <a16:creationId xmlns:a16="http://schemas.microsoft.com/office/drawing/2014/main" id="{00000000-0008-0000-0200-000027290200}"/>
              </a:ext>
            </a:extLst>
          </xdr:cNvPr>
          <xdr:cNvSpPr/>
        </xdr:nvSpPr>
        <xdr:spPr>
          <a:xfrm>
            <a:off x="3937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608" name="QRE">
            <a:extLst>
              <a:ext uri="{FF2B5EF4-FFF2-40B4-BE49-F238E27FC236}">
                <a16:creationId xmlns:a16="http://schemas.microsoft.com/office/drawing/2014/main" id="{00000000-0008-0000-0200-000028290200}"/>
              </a:ext>
            </a:extLst>
          </xdr:cNvPr>
          <xdr:cNvSpPr/>
        </xdr:nvSpPr>
        <xdr:spPr>
          <a:xfrm>
            <a:off x="4064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609" name="QRE">
            <a:extLst>
              <a:ext uri="{FF2B5EF4-FFF2-40B4-BE49-F238E27FC236}">
                <a16:creationId xmlns:a16="http://schemas.microsoft.com/office/drawing/2014/main" id="{00000000-0008-0000-0200-000029290200}"/>
              </a:ext>
            </a:extLst>
          </xdr:cNvPr>
          <xdr:cNvSpPr/>
        </xdr:nvSpPr>
        <xdr:spPr>
          <a:xfrm>
            <a:off x="4318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610" name="QRE">
            <a:extLst>
              <a:ext uri="{FF2B5EF4-FFF2-40B4-BE49-F238E27FC236}">
                <a16:creationId xmlns:a16="http://schemas.microsoft.com/office/drawing/2014/main" id="{00000000-0008-0000-0200-00002A290200}"/>
              </a:ext>
            </a:extLst>
          </xdr:cNvPr>
          <xdr:cNvSpPr/>
        </xdr:nvSpPr>
        <xdr:spPr>
          <a:xfrm>
            <a:off x="4572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611" name="QRE">
            <a:extLst>
              <a:ext uri="{FF2B5EF4-FFF2-40B4-BE49-F238E27FC236}">
                <a16:creationId xmlns:a16="http://schemas.microsoft.com/office/drawing/2014/main" id="{00000000-0008-0000-0200-00002B290200}"/>
              </a:ext>
            </a:extLst>
          </xdr:cNvPr>
          <xdr:cNvSpPr/>
        </xdr:nvSpPr>
        <xdr:spPr>
          <a:xfrm>
            <a:off x="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612" name="QRE">
            <a:extLst>
              <a:ext uri="{FF2B5EF4-FFF2-40B4-BE49-F238E27FC236}">
                <a16:creationId xmlns:a16="http://schemas.microsoft.com/office/drawing/2014/main" id="{00000000-0008-0000-0200-00002C290200}"/>
              </a:ext>
            </a:extLst>
          </xdr:cNvPr>
          <xdr:cNvSpPr/>
        </xdr:nvSpPr>
        <xdr:spPr>
          <a:xfrm>
            <a:off x="762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613" name="QRE">
            <a:extLst>
              <a:ext uri="{FF2B5EF4-FFF2-40B4-BE49-F238E27FC236}">
                <a16:creationId xmlns:a16="http://schemas.microsoft.com/office/drawing/2014/main" id="{00000000-0008-0000-0200-00002D290200}"/>
              </a:ext>
            </a:extLst>
          </xdr:cNvPr>
          <xdr:cNvSpPr/>
        </xdr:nvSpPr>
        <xdr:spPr>
          <a:xfrm>
            <a:off x="1524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614" name="QRE">
            <a:extLst>
              <a:ext uri="{FF2B5EF4-FFF2-40B4-BE49-F238E27FC236}">
                <a16:creationId xmlns:a16="http://schemas.microsoft.com/office/drawing/2014/main" id="{00000000-0008-0000-0200-00002E290200}"/>
              </a:ext>
            </a:extLst>
          </xdr:cNvPr>
          <xdr:cNvSpPr/>
        </xdr:nvSpPr>
        <xdr:spPr>
          <a:xfrm>
            <a:off x="1651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615" name="QRE">
            <a:extLst>
              <a:ext uri="{FF2B5EF4-FFF2-40B4-BE49-F238E27FC236}">
                <a16:creationId xmlns:a16="http://schemas.microsoft.com/office/drawing/2014/main" id="{00000000-0008-0000-0200-00002F290200}"/>
              </a:ext>
            </a:extLst>
          </xdr:cNvPr>
          <xdr:cNvSpPr/>
        </xdr:nvSpPr>
        <xdr:spPr>
          <a:xfrm>
            <a:off x="1905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616" name="QRE">
            <a:extLst>
              <a:ext uri="{FF2B5EF4-FFF2-40B4-BE49-F238E27FC236}">
                <a16:creationId xmlns:a16="http://schemas.microsoft.com/office/drawing/2014/main" id="{00000000-0008-0000-0200-000030290200}"/>
              </a:ext>
            </a:extLst>
          </xdr:cNvPr>
          <xdr:cNvSpPr/>
        </xdr:nvSpPr>
        <xdr:spPr>
          <a:xfrm>
            <a:off x="2286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617" name="QRE">
            <a:extLst>
              <a:ext uri="{FF2B5EF4-FFF2-40B4-BE49-F238E27FC236}">
                <a16:creationId xmlns:a16="http://schemas.microsoft.com/office/drawing/2014/main" id="{00000000-0008-0000-0200-000031290200}"/>
              </a:ext>
            </a:extLst>
          </xdr:cNvPr>
          <xdr:cNvSpPr/>
        </xdr:nvSpPr>
        <xdr:spPr>
          <a:xfrm>
            <a:off x="2413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618" name="QRE">
            <a:extLst>
              <a:ext uri="{FF2B5EF4-FFF2-40B4-BE49-F238E27FC236}">
                <a16:creationId xmlns:a16="http://schemas.microsoft.com/office/drawing/2014/main" id="{00000000-0008-0000-0200-000032290200}"/>
              </a:ext>
            </a:extLst>
          </xdr:cNvPr>
          <xdr:cNvSpPr/>
        </xdr:nvSpPr>
        <xdr:spPr>
          <a:xfrm>
            <a:off x="2540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619" name="QRE">
            <a:extLst>
              <a:ext uri="{FF2B5EF4-FFF2-40B4-BE49-F238E27FC236}">
                <a16:creationId xmlns:a16="http://schemas.microsoft.com/office/drawing/2014/main" id="{00000000-0008-0000-0200-000033290200}"/>
              </a:ext>
            </a:extLst>
          </xdr:cNvPr>
          <xdr:cNvSpPr/>
        </xdr:nvSpPr>
        <xdr:spPr>
          <a:xfrm>
            <a:off x="2667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620" name="QRE">
            <a:extLst>
              <a:ext uri="{FF2B5EF4-FFF2-40B4-BE49-F238E27FC236}">
                <a16:creationId xmlns:a16="http://schemas.microsoft.com/office/drawing/2014/main" id="{00000000-0008-0000-0200-000034290200}"/>
              </a:ext>
            </a:extLst>
          </xdr:cNvPr>
          <xdr:cNvSpPr/>
        </xdr:nvSpPr>
        <xdr:spPr>
          <a:xfrm>
            <a:off x="2794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621" name="QRE">
            <a:extLst>
              <a:ext uri="{FF2B5EF4-FFF2-40B4-BE49-F238E27FC236}">
                <a16:creationId xmlns:a16="http://schemas.microsoft.com/office/drawing/2014/main" id="{00000000-0008-0000-0200-000035290200}"/>
              </a:ext>
            </a:extLst>
          </xdr:cNvPr>
          <xdr:cNvSpPr/>
        </xdr:nvSpPr>
        <xdr:spPr>
          <a:xfrm>
            <a:off x="2921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622" name="QRE">
            <a:extLst>
              <a:ext uri="{FF2B5EF4-FFF2-40B4-BE49-F238E27FC236}">
                <a16:creationId xmlns:a16="http://schemas.microsoft.com/office/drawing/2014/main" id="{00000000-0008-0000-0200-000036290200}"/>
              </a:ext>
            </a:extLst>
          </xdr:cNvPr>
          <xdr:cNvSpPr/>
        </xdr:nvSpPr>
        <xdr:spPr>
          <a:xfrm>
            <a:off x="3048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623" name="QRE">
            <a:extLst>
              <a:ext uri="{FF2B5EF4-FFF2-40B4-BE49-F238E27FC236}">
                <a16:creationId xmlns:a16="http://schemas.microsoft.com/office/drawing/2014/main" id="{00000000-0008-0000-0200-000037290200}"/>
              </a:ext>
            </a:extLst>
          </xdr:cNvPr>
          <xdr:cNvSpPr/>
        </xdr:nvSpPr>
        <xdr:spPr>
          <a:xfrm>
            <a:off x="3302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624" name="QRE">
            <a:extLst>
              <a:ext uri="{FF2B5EF4-FFF2-40B4-BE49-F238E27FC236}">
                <a16:creationId xmlns:a16="http://schemas.microsoft.com/office/drawing/2014/main" id="{00000000-0008-0000-0200-000038290200}"/>
              </a:ext>
            </a:extLst>
          </xdr:cNvPr>
          <xdr:cNvSpPr/>
        </xdr:nvSpPr>
        <xdr:spPr>
          <a:xfrm>
            <a:off x="3810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625" name="QRE">
            <a:extLst>
              <a:ext uri="{FF2B5EF4-FFF2-40B4-BE49-F238E27FC236}">
                <a16:creationId xmlns:a16="http://schemas.microsoft.com/office/drawing/2014/main" id="{00000000-0008-0000-0200-000039290200}"/>
              </a:ext>
            </a:extLst>
          </xdr:cNvPr>
          <xdr:cNvSpPr/>
        </xdr:nvSpPr>
        <xdr:spPr>
          <a:xfrm>
            <a:off x="3937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626" name="QRE">
            <a:extLst>
              <a:ext uri="{FF2B5EF4-FFF2-40B4-BE49-F238E27FC236}">
                <a16:creationId xmlns:a16="http://schemas.microsoft.com/office/drawing/2014/main" id="{00000000-0008-0000-0200-00003A290200}"/>
              </a:ext>
            </a:extLst>
          </xdr:cNvPr>
          <xdr:cNvSpPr/>
        </xdr:nvSpPr>
        <xdr:spPr>
          <a:xfrm>
            <a:off x="4064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627" name="QRE">
            <a:extLst>
              <a:ext uri="{FF2B5EF4-FFF2-40B4-BE49-F238E27FC236}">
                <a16:creationId xmlns:a16="http://schemas.microsoft.com/office/drawing/2014/main" id="{00000000-0008-0000-0200-00003B290200}"/>
              </a:ext>
            </a:extLst>
          </xdr:cNvPr>
          <xdr:cNvSpPr/>
        </xdr:nvSpPr>
        <xdr:spPr>
          <a:xfrm>
            <a:off x="4191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628" name="QRE">
            <a:extLst>
              <a:ext uri="{FF2B5EF4-FFF2-40B4-BE49-F238E27FC236}">
                <a16:creationId xmlns:a16="http://schemas.microsoft.com/office/drawing/2014/main" id="{00000000-0008-0000-0200-00003C290200}"/>
              </a:ext>
            </a:extLst>
          </xdr:cNvPr>
          <xdr:cNvSpPr/>
        </xdr:nvSpPr>
        <xdr:spPr>
          <a:xfrm>
            <a:off x="4318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629" name="QRE">
            <a:extLst>
              <a:ext uri="{FF2B5EF4-FFF2-40B4-BE49-F238E27FC236}">
                <a16:creationId xmlns:a16="http://schemas.microsoft.com/office/drawing/2014/main" id="{00000000-0008-0000-0200-00003D290200}"/>
              </a:ext>
            </a:extLst>
          </xdr:cNvPr>
          <xdr:cNvSpPr/>
        </xdr:nvSpPr>
        <xdr:spPr>
          <a:xfrm>
            <a:off x="4572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630" name="QRE">
            <a:extLst>
              <a:ext uri="{FF2B5EF4-FFF2-40B4-BE49-F238E27FC236}">
                <a16:creationId xmlns:a16="http://schemas.microsoft.com/office/drawing/2014/main" id="{00000000-0008-0000-0200-00003E290200}"/>
              </a:ext>
            </a:extLst>
          </xdr:cNvPr>
          <xdr:cNvSpPr/>
        </xdr:nvSpPr>
        <xdr:spPr>
          <a:xfrm>
            <a:off x="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631" name="QRE">
            <a:extLst>
              <a:ext uri="{FF2B5EF4-FFF2-40B4-BE49-F238E27FC236}">
                <a16:creationId xmlns:a16="http://schemas.microsoft.com/office/drawing/2014/main" id="{00000000-0008-0000-0200-00003F290200}"/>
              </a:ext>
            </a:extLst>
          </xdr:cNvPr>
          <xdr:cNvSpPr/>
        </xdr:nvSpPr>
        <xdr:spPr>
          <a:xfrm>
            <a:off x="127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632" name="QRE">
            <a:extLst>
              <a:ext uri="{FF2B5EF4-FFF2-40B4-BE49-F238E27FC236}">
                <a16:creationId xmlns:a16="http://schemas.microsoft.com/office/drawing/2014/main" id="{00000000-0008-0000-0200-000040290200}"/>
              </a:ext>
            </a:extLst>
          </xdr:cNvPr>
          <xdr:cNvSpPr/>
        </xdr:nvSpPr>
        <xdr:spPr>
          <a:xfrm>
            <a:off x="254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633" name="QRE">
            <a:extLst>
              <a:ext uri="{FF2B5EF4-FFF2-40B4-BE49-F238E27FC236}">
                <a16:creationId xmlns:a16="http://schemas.microsoft.com/office/drawing/2014/main" id="{00000000-0008-0000-0200-000041290200}"/>
              </a:ext>
            </a:extLst>
          </xdr:cNvPr>
          <xdr:cNvSpPr/>
        </xdr:nvSpPr>
        <xdr:spPr>
          <a:xfrm>
            <a:off x="381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634" name="QRE">
            <a:extLst>
              <a:ext uri="{FF2B5EF4-FFF2-40B4-BE49-F238E27FC236}">
                <a16:creationId xmlns:a16="http://schemas.microsoft.com/office/drawing/2014/main" id="{00000000-0008-0000-0200-000042290200}"/>
              </a:ext>
            </a:extLst>
          </xdr:cNvPr>
          <xdr:cNvSpPr/>
        </xdr:nvSpPr>
        <xdr:spPr>
          <a:xfrm>
            <a:off x="508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635" name="QRE">
            <a:extLst>
              <a:ext uri="{FF2B5EF4-FFF2-40B4-BE49-F238E27FC236}">
                <a16:creationId xmlns:a16="http://schemas.microsoft.com/office/drawing/2014/main" id="{00000000-0008-0000-0200-000043290200}"/>
              </a:ext>
            </a:extLst>
          </xdr:cNvPr>
          <xdr:cNvSpPr/>
        </xdr:nvSpPr>
        <xdr:spPr>
          <a:xfrm>
            <a:off x="635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636" name="QRE">
            <a:extLst>
              <a:ext uri="{FF2B5EF4-FFF2-40B4-BE49-F238E27FC236}">
                <a16:creationId xmlns:a16="http://schemas.microsoft.com/office/drawing/2014/main" id="{00000000-0008-0000-0200-000044290200}"/>
              </a:ext>
            </a:extLst>
          </xdr:cNvPr>
          <xdr:cNvSpPr/>
        </xdr:nvSpPr>
        <xdr:spPr>
          <a:xfrm>
            <a:off x="762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637" name="QRE">
            <a:extLst>
              <a:ext uri="{FF2B5EF4-FFF2-40B4-BE49-F238E27FC236}">
                <a16:creationId xmlns:a16="http://schemas.microsoft.com/office/drawing/2014/main" id="{00000000-0008-0000-0200-000045290200}"/>
              </a:ext>
            </a:extLst>
          </xdr:cNvPr>
          <xdr:cNvSpPr/>
        </xdr:nvSpPr>
        <xdr:spPr>
          <a:xfrm>
            <a:off x="1016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638" name="QRE">
            <a:extLst>
              <a:ext uri="{FF2B5EF4-FFF2-40B4-BE49-F238E27FC236}">
                <a16:creationId xmlns:a16="http://schemas.microsoft.com/office/drawing/2014/main" id="{00000000-0008-0000-0200-000046290200}"/>
              </a:ext>
            </a:extLst>
          </xdr:cNvPr>
          <xdr:cNvSpPr/>
        </xdr:nvSpPr>
        <xdr:spPr>
          <a:xfrm>
            <a:off x="1397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639" name="QRE">
            <a:extLst>
              <a:ext uri="{FF2B5EF4-FFF2-40B4-BE49-F238E27FC236}">
                <a16:creationId xmlns:a16="http://schemas.microsoft.com/office/drawing/2014/main" id="{00000000-0008-0000-0200-000047290200}"/>
              </a:ext>
            </a:extLst>
          </xdr:cNvPr>
          <xdr:cNvSpPr/>
        </xdr:nvSpPr>
        <xdr:spPr>
          <a:xfrm>
            <a:off x="1778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640" name="QRE">
            <a:extLst>
              <a:ext uri="{FF2B5EF4-FFF2-40B4-BE49-F238E27FC236}">
                <a16:creationId xmlns:a16="http://schemas.microsoft.com/office/drawing/2014/main" id="{00000000-0008-0000-0200-000048290200}"/>
              </a:ext>
            </a:extLst>
          </xdr:cNvPr>
          <xdr:cNvSpPr/>
        </xdr:nvSpPr>
        <xdr:spPr>
          <a:xfrm>
            <a:off x="1905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641" name="QRE">
            <a:extLst>
              <a:ext uri="{FF2B5EF4-FFF2-40B4-BE49-F238E27FC236}">
                <a16:creationId xmlns:a16="http://schemas.microsoft.com/office/drawing/2014/main" id="{00000000-0008-0000-0200-000049290200}"/>
              </a:ext>
            </a:extLst>
          </xdr:cNvPr>
          <xdr:cNvSpPr/>
        </xdr:nvSpPr>
        <xdr:spPr>
          <a:xfrm>
            <a:off x="2032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642" name="QRE">
            <a:extLst>
              <a:ext uri="{FF2B5EF4-FFF2-40B4-BE49-F238E27FC236}">
                <a16:creationId xmlns:a16="http://schemas.microsoft.com/office/drawing/2014/main" id="{00000000-0008-0000-0200-00004A290200}"/>
              </a:ext>
            </a:extLst>
          </xdr:cNvPr>
          <xdr:cNvSpPr/>
        </xdr:nvSpPr>
        <xdr:spPr>
          <a:xfrm>
            <a:off x="2159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643" name="QRE">
            <a:extLst>
              <a:ext uri="{FF2B5EF4-FFF2-40B4-BE49-F238E27FC236}">
                <a16:creationId xmlns:a16="http://schemas.microsoft.com/office/drawing/2014/main" id="{00000000-0008-0000-0200-00004B290200}"/>
              </a:ext>
            </a:extLst>
          </xdr:cNvPr>
          <xdr:cNvSpPr/>
        </xdr:nvSpPr>
        <xdr:spPr>
          <a:xfrm>
            <a:off x="2286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644" name="QRE">
            <a:extLst>
              <a:ext uri="{FF2B5EF4-FFF2-40B4-BE49-F238E27FC236}">
                <a16:creationId xmlns:a16="http://schemas.microsoft.com/office/drawing/2014/main" id="{00000000-0008-0000-0200-00004C290200}"/>
              </a:ext>
            </a:extLst>
          </xdr:cNvPr>
          <xdr:cNvSpPr/>
        </xdr:nvSpPr>
        <xdr:spPr>
          <a:xfrm>
            <a:off x="2413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645" name="QRE">
            <a:extLst>
              <a:ext uri="{FF2B5EF4-FFF2-40B4-BE49-F238E27FC236}">
                <a16:creationId xmlns:a16="http://schemas.microsoft.com/office/drawing/2014/main" id="{00000000-0008-0000-0200-00004D290200}"/>
              </a:ext>
            </a:extLst>
          </xdr:cNvPr>
          <xdr:cNvSpPr/>
        </xdr:nvSpPr>
        <xdr:spPr>
          <a:xfrm>
            <a:off x="2540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646" name="QRE">
            <a:extLst>
              <a:ext uri="{FF2B5EF4-FFF2-40B4-BE49-F238E27FC236}">
                <a16:creationId xmlns:a16="http://schemas.microsoft.com/office/drawing/2014/main" id="{00000000-0008-0000-0200-00004E290200}"/>
              </a:ext>
            </a:extLst>
          </xdr:cNvPr>
          <xdr:cNvSpPr/>
        </xdr:nvSpPr>
        <xdr:spPr>
          <a:xfrm>
            <a:off x="2794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647" name="QRE">
            <a:extLst>
              <a:ext uri="{FF2B5EF4-FFF2-40B4-BE49-F238E27FC236}">
                <a16:creationId xmlns:a16="http://schemas.microsoft.com/office/drawing/2014/main" id="{00000000-0008-0000-0200-00004F290200}"/>
              </a:ext>
            </a:extLst>
          </xdr:cNvPr>
          <xdr:cNvSpPr/>
        </xdr:nvSpPr>
        <xdr:spPr>
          <a:xfrm>
            <a:off x="3048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648" name="QRE">
            <a:extLst>
              <a:ext uri="{FF2B5EF4-FFF2-40B4-BE49-F238E27FC236}">
                <a16:creationId xmlns:a16="http://schemas.microsoft.com/office/drawing/2014/main" id="{00000000-0008-0000-0200-000050290200}"/>
              </a:ext>
            </a:extLst>
          </xdr:cNvPr>
          <xdr:cNvSpPr/>
        </xdr:nvSpPr>
        <xdr:spPr>
          <a:xfrm>
            <a:off x="3302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649" name="QRE">
            <a:extLst>
              <a:ext uri="{FF2B5EF4-FFF2-40B4-BE49-F238E27FC236}">
                <a16:creationId xmlns:a16="http://schemas.microsoft.com/office/drawing/2014/main" id="{00000000-0008-0000-0200-000051290200}"/>
              </a:ext>
            </a:extLst>
          </xdr:cNvPr>
          <xdr:cNvSpPr/>
        </xdr:nvSpPr>
        <xdr:spPr>
          <a:xfrm>
            <a:off x="3556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650" name="QRE">
            <a:extLst>
              <a:ext uri="{FF2B5EF4-FFF2-40B4-BE49-F238E27FC236}">
                <a16:creationId xmlns:a16="http://schemas.microsoft.com/office/drawing/2014/main" id="{00000000-0008-0000-0200-000052290200}"/>
              </a:ext>
            </a:extLst>
          </xdr:cNvPr>
          <xdr:cNvSpPr/>
        </xdr:nvSpPr>
        <xdr:spPr>
          <a:xfrm>
            <a:off x="3810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651" name="QRE">
            <a:extLst>
              <a:ext uri="{FF2B5EF4-FFF2-40B4-BE49-F238E27FC236}">
                <a16:creationId xmlns:a16="http://schemas.microsoft.com/office/drawing/2014/main" id="{00000000-0008-0000-0200-000053290200}"/>
              </a:ext>
            </a:extLst>
          </xdr:cNvPr>
          <xdr:cNvSpPr/>
        </xdr:nvSpPr>
        <xdr:spPr>
          <a:xfrm>
            <a:off x="4318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652" name="QRE">
            <a:extLst>
              <a:ext uri="{FF2B5EF4-FFF2-40B4-BE49-F238E27FC236}">
                <a16:creationId xmlns:a16="http://schemas.microsoft.com/office/drawing/2014/main" id="{00000000-0008-0000-0200-000054290200}"/>
              </a:ext>
            </a:extLst>
          </xdr:cNvPr>
          <xdr:cNvSpPr/>
        </xdr:nvSpPr>
        <xdr:spPr>
          <a:xfrm>
            <a:off x="4572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95250</xdr:colOff>
      <xdr:row>4</xdr:row>
      <xdr:rowOff>0</xdr:rowOff>
    </xdr:from>
    <xdr:to>
      <xdr:col>5</xdr:col>
      <xdr:colOff>514350</xdr:colOff>
      <xdr:row>18</xdr:row>
      <xdr:rowOff>190500</xdr:rowOff>
    </xdr:to>
    <xdr:grpSp>
      <xdr:nvGrpSpPr>
        <xdr:cNvPr id="2" name="QRANDROID" descr="QuickResponse barcode, level M, version 5, mode binary, 37x37 cells" title="https://stagingapps.ocbc.com/Packages/CFS/MB/SCANANDPAY/CFS_MB_SG_SCANANDPAY_UAT.apk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>
          <a:grpSpLocks noChangeAspect="1"/>
        </xdr:cNvGrpSpPr>
      </xdr:nvGrpSpPr>
      <xdr:grpSpPr>
        <a:xfrm>
          <a:off x="704850" y="390525"/>
          <a:ext cx="2857500" cy="2857500"/>
          <a:chOff x="0" y="0"/>
          <a:chExt cx="469900" cy="469900"/>
        </a:xfrm>
      </xdr:grpSpPr>
      <xdr:sp macro="" textlink="">
        <xdr:nvSpPr>
          <xdr:cNvPr id="3" name="QRANDROID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" name="QRANDROID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" name="QRANDROID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" name="QRANDROID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" name="QRANDROID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" name="QRANDROID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" name="QRANDROID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" name="QRANDROID">
            <a:extLst>
              <a:ext uri="{FF2B5EF4-FFF2-40B4-BE49-F238E27FC236}">
                <a16:creationId xmlns:a16="http://schemas.microsoft.com/office/drawing/2014/main" id="{00000000-0008-0000-0400-00000A000000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" name="QRANDROID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" name="QRANDROID">
            <a:extLst>
              <a:ext uri="{FF2B5EF4-FFF2-40B4-BE49-F238E27FC236}">
                <a16:creationId xmlns:a16="http://schemas.microsoft.com/office/drawing/2014/main" id="{00000000-0008-0000-0400-00000C000000}"/>
              </a:ext>
            </a:extLst>
          </xdr:cNvPr>
          <xdr:cNvSpPr/>
        </xdr:nvSpPr>
        <xdr:spPr>
          <a:xfrm>
            <a:off x="165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" name="QRANDROID">
            <a:extLst>
              <a:ext uri="{FF2B5EF4-FFF2-40B4-BE49-F238E27FC236}">
                <a16:creationId xmlns:a16="http://schemas.microsoft.com/office/drawing/2014/main" id="{00000000-0008-0000-0400-00000D000000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" name="QRANDROID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SpPr/>
        </xdr:nvSpPr>
        <xdr:spPr>
          <a:xfrm>
            <a:off x="266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5" name="QRANDROID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6" name="QRANDROID"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SpPr/>
        </xdr:nvSpPr>
        <xdr:spPr>
          <a:xfrm>
            <a:off x="381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7" name="QRANDROID">
            <a:extLst>
              <a:ext uri="{FF2B5EF4-FFF2-40B4-BE49-F238E27FC236}">
                <a16:creationId xmlns:a16="http://schemas.microsoft.com/office/drawing/2014/main" id="{00000000-0008-0000-0400-000011000000}"/>
              </a:ext>
            </a:extLst>
          </xdr:cNvPr>
          <xdr:cNvSpPr/>
        </xdr:nvSpPr>
        <xdr:spPr>
          <a:xfrm>
            <a:off x="393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8" name="QRANDROID">
            <a:extLst>
              <a:ext uri="{FF2B5EF4-FFF2-40B4-BE49-F238E27FC236}">
                <a16:creationId xmlns:a16="http://schemas.microsoft.com/office/drawing/2014/main" id="{00000000-0008-0000-0400-000012000000}"/>
              </a:ext>
            </a:extLst>
          </xdr:cNvPr>
          <xdr:cNvSpPr/>
        </xdr:nvSpPr>
        <xdr:spPr>
          <a:xfrm>
            <a:off x="406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9" name="QRANDROID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SpPr/>
        </xdr:nvSpPr>
        <xdr:spPr>
          <a:xfrm>
            <a:off x="419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0" name="QRANDROID">
            <a:extLst>
              <a:ext uri="{FF2B5EF4-FFF2-40B4-BE49-F238E27FC236}">
                <a16:creationId xmlns:a16="http://schemas.microsoft.com/office/drawing/2014/main" id="{00000000-0008-0000-0400-000014000000}"/>
              </a:ext>
            </a:extLst>
          </xdr:cNvPr>
          <xdr:cNvSpPr/>
        </xdr:nvSpPr>
        <xdr:spPr>
          <a:xfrm>
            <a:off x="431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1" name="QRANDROID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SpPr/>
        </xdr:nvSpPr>
        <xdr:spPr>
          <a:xfrm>
            <a:off x="444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2" name="QRANDROID">
            <a:extLst>
              <a:ext uri="{FF2B5EF4-FFF2-40B4-BE49-F238E27FC236}">
                <a16:creationId xmlns:a16="http://schemas.microsoft.com/office/drawing/2014/main" id="{00000000-0008-0000-0400-000016000000}"/>
              </a:ext>
            </a:extLst>
          </xdr:cNvPr>
          <xdr:cNvSpPr/>
        </xdr:nvSpPr>
        <xdr:spPr>
          <a:xfrm>
            <a:off x="457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3" name="QRANDROID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4" name="QRANDROID">
            <a:extLst>
              <a:ext uri="{FF2B5EF4-FFF2-40B4-BE49-F238E27FC236}">
                <a16:creationId xmlns:a16="http://schemas.microsoft.com/office/drawing/2014/main" id="{00000000-0008-0000-0400-00001800000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5" name="QRANDROID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SpPr/>
        </xdr:nvSpPr>
        <xdr:spPr>
          <a:xfrm>
            <a:off x="1016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6" name="QRANDROID">
            <a:extLst>
              <a:ext uri="{FF2B5EF4-FFF2-40B4-BE49-F238E27FC236}">
                <a16:creationId xmlns:a16="http://schemas.microsoft.com/office/drawing/2014/main" id="{00000000-0008-0000-0400-00001A000000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7" name="QRANDROID">
            <a:extLst>
              <a:ext uri="{FF2B5EF4-FFF2-40B4-BE49-F238E27FC236}">
                <a16:creationId xmlns:a16="http://schemas.microsoft.com/office/drawing/2014/main" id="{00000000-0008-0000-0400-00001B000000}"/>
              </a:ext>
            </a:extLst>
          </xdr:cNvPr>
          <xdr:cNvSpPr/>
        </xdr:nvSpPr>
        <xdr:spPr>
          <a:xfrm>
            <a:off x="1397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8" name="QRANDROID">
            <a:extLst>
              <a:ext uri="{FF2B5EF4-FFF2-40B4-BE49-F238E27FC236}">
                <a16:creationId xmlns:a16="http://schemas.microsoft.com/office/drawing/2014/main" id="{00000000-0008-0000-0400-00001C000000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9" name="QRANDROID">
            <a:extLst>
              <a:ext uri="{FF2B5EF4-FFF2-40B4-BE49-F238E27FC236}">
                <a16:creationId xmlns:a16="http://schemas.microsoft.com/office/drawing/2014/main" id="{00000000-0008-0000-0400-00001D000000}"/>
              </a:ext>
            </a:extLst>
          </xdr:cNvPr>
          <xdr:cNvSpPr/>
        </xdr:nvSpPr>
        <xdr:spPr>
          <a:xfrm>
            <a:off x="1651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0" name="QRANDROID">
            <a:extLst>
              <a:ext uri="{FF2B5EF4-FFF2-40B4-BE49-F238E27FC236}">
                <a16:creationId xmlns:a16="http://schemas.microsoft.com/office/drawing/2014/main" id="{00000000-0008-0000-0400-00001E000000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1" name="QRANDROID">
            <a:extLst>
              <a:ext uri="{FF2B5EF4-FFF2-40B4-BE49-F238E27FC236}">
                <a16:creationId xmlns:a16="http://schemas.microsoft.com/office/drawing/2014/main" id="{00000000-0008-0000-0400-00001F000000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2" name="QRANDROID">
            <a:extLst>
              <a:ext uri="{FF2B5EF4-FFF2-40B4-BE49-F238E27FC236}">
                <a16:creationId xmlns:a16="http://schemas.microsoft.com/office/drawing/2014/main" id="{00000000-0008-0000-0400-000020000000}"/>
              </a:ext>
            </a:extLst>
          </xdr:cNvPr>
          <xdr:cNvSpPr/>
        </xdr:nvSpPr>
        <xdr:spPr>
          <a:xfrm>
            <a:off x="2159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3" name="QRANDROID">
            <a:extLst>
              <a:ext uri="{FF2B5EF4-FFF2-40B4-BE49-F238E27FC236}">
                <a16:creationId xmlns:a16="http://schemas.microsoft.com/office/drawing/2014/main" id="{00000000-0008-0000-0400-000021000000}"/>
              </a:ext>
            </a:extLst>
          </xdr:cNvPr>
          <xdr:cNvSpPr/>
        </xdr:nvSpPr>
        <xdr:spPr>
          <a:xfrm>
            <a:off x="2413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4" name="QRANDROID">
            <a:extLst>
              <a:ext uri="{FF2B5EF4-FFF2-40B4-BE49-F238E27FC236}">
                <a16:creationId xmlns:a16="http://schemas.microsoft.com/office/drawing/2014/main" id="{00000000-0008-0000-0400-000022000000}"/>
              </a:ext>
            </a:extLst>
          </xdr:cNvPr>
          <xdr:cNvSpPr/>
        </xdr:nvSpPr>
        <xdr:spPr>
          <a:xfrm>
            <a:off x="254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5" name="QRANDROID">
            <a:extLst>
              <a:ext uri="{FF2B5EF4-FFF2-40B4-BE49-F238E27FC236}">
                <a16:creationId xmlns:a16="http://schemas.microsoft.com/office/drawing/2014/main" id="{00000000-0008-0000-0400-000023000000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6" name="QRANDROID">
            <a:extLst>
              <a:ext uri="{FF2B5EF4-FFF2-40B4-BE49-F238E27FC236}">
                <a16:creationId xmlns:a16="http://schemas.microsoft.com/office/drawing/2014/main" id="{00000000-0008-0000-0400-000024000000}"/>
              </a:ext>
            </a:extLst>
          </xdr:cNvPr>
          <xdr:cNvSpPr/>
        </xdr:nvSpPr>
        <xdr:spPr>
          <a:xfrm>
            <a:off x="2921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7" name="QRANDROID">
            <a:extLst>
              <a:ext uri="{FF2B5EF4-FFF2-40B4-BE49-F238E27FC236}">
                <a16:creationId xmlns:a16="http://schemas.microsoft.com/office/drawing/2014/main" id="{00000000-0008-0000-0400-000025000000}"/>
              </a:ext>
            </a:extLst>
          </xdr:cNvPr>
          <xdr:cNvSpPr/>
        </xdr:nvSpPr>
        <xdr:spPr>
          <a:xfrm>
            <a:off x="3048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8" name="QRANDROID">
            <a:extLst>
              <a:ext uri="{FF2B5EF4-FFF2-40B4-BE49-F238E27FC236}">
                <a16:creationId xmlns:a16="http://schemas.microsoft.com/office/drawing/2014/main" id="{00000000-0008-0000-0400-000026000000}"/>
              </a:ext>
            </a:extLst>
          </xdr:cNvPr>
          <xdr:cNvSpPr/>
        </xdr:nvSpPr>
        <xdr:spPr>
          <a:xfrm>
            <a:off x="3175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9" name="QRANDROID">
            <a:extLst>
              <a:ext uri="{FF2B5EF4-FFF2-40B4-BE49-F238E27FC236}">
                <a16:creationId xmlns:a16="http://schemas.microsoft.com/office/drawing/2014/main" id="{00000000-0008-0000-0400-000027000000}"/>
              </a:ext>
            </a:extLst>
          </xdr:cNvPr>
          <xdr:cNvSpPr/>
        </xdr:nvSpPr>
        <xdr:spPr>
          <a:xfrm>
            <a:off x="3429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0" name="QRANDROID">
            <a:extLst>
              <a:ext uri="{FF2B5EF4-FFF2-40B4-BE49-F238E27FC236}">
                <a16:creationId xmlns:a16="http://schemas.microsoft.com/office/drawing/2014/main" id="{00000000-0008-0000-0400-000028000000}"/>
              </a:ext>
            </a:extLst>
          </xdr:cNvPr>
          <xdr:cNvSpPr/>
        </xdr:nvSpPr>
        <xdr:spPr>
          <a:xfrm>
            <a:off x="381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1" name="QRANDROID">
            <a:extLst>
              <a:ext uri="{FF2B5EF4-FFF2-40B4-BE49-F238E27FC236}">
                <a16:creationId xmlns:a16="http://schemas.microsoft.com/office/drawing/2014/main" id="{00000000-0008-0000-0400-000029000000}"/>
              </a:ext>
            </a:extLst>
          </xdr:cNvPr>
          <xdr:cNvSpPr/>
        </xdr:nvSpPr>
        <xdr:spPr>
          <a:xfrm>
            <a:off x="457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2" name="QRANDROID">
            <a:extLst>
              <a:ext uri="{FF2B5EF4-FFF2-40B4-BE49-F238E27FC236}">
                <a16:creationId xmlns:a16="http://schemas.microsoft.com/office/drawing/2014/main" id="{00000000-0008-0000-0400-00002A000000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3" name="QRANDROID">
            <a:extLst>
              <a:ext uri="{FF2B5EF4-FFF2-40B4-BE49-F238E27FC236}">
                <a16:creationId xmlns:a16="http://schemas.microsoft.com/office/drawing/2014/main" id="{00000000-0008-0000-0400-00002B000000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4" name="QRANDROID">
            <a:extLst>
              <a:ext uri="{FF2B5EF4-FFF2-40B4-BE49-F238E27FC236}">
                <a16:creationId xmlns:a16="http://schemas.microsoft.com/office/drawing/2014/main" id="{00000000-0008-0000-0400-00002C000000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5" name="QRANDROID">
            <a:extLst>
              <a:ext uri="{FF2B5EF4-FFF2-40B4-BE49-F238E27FC236}">
                <a16:creationId xmlns:a16="http://schemas.microsoft.com/office/drawing/2014/main" id="{00000000-0008-0000-0400-00002D000000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6" name="QRANDROID">
            <a:extLst>
              <a:ext uri="{FF2B5EF4-FFF2-40B4-BE49-F238E27FC236}">
                <a16:creationId xmlns:a16="http://schemas.microsoft.com/office/drawing/2014/main" id="{00000000-0008-0000-0400-00002E000000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7" name="QRANDROID">
            <a:extLst>
              <a:ext uri="{FF2B5EF4-FFF2-40B4-BE49-F238E27FC236}">
                <a16:creationId xmlns:a16="http://schemas.microsoft.com/office/drawing/2014/main" id="{00000000-0008-0000-0400-00002F000000}"/>
              </a:ext>
            </a:extLst>
          </xdr:cNvPr>
          <xdr:cNvSpPr/>
        </xdr:nvSpPr>
        <xdr:spPr>
          <a:xfrm>
            <a:off x="165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8" name="QRANDROID">
            <a:extLst>
              <a:ext uri="{FF2B5EF4-FFF2-40B4-BE49-F238E27FC236}">
                <a16:creationId xmlns:a16="http://schemas.microsoft.com/office/drawing/2014/main" id="{00000000-0008-0000-0400-000030000000}"/>
              </a:ext>
            </a:extLst>
          </xdr:cNvPr>
          <xdr:cNvSpPr/>
        </xdr:nvSpPr>
        <xdr:spPr>
          <a:xfrm>
            <a:off x="177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9" name="QRANDROID">
            <a:extLst>
              <a:ext uri="{FF2B5EF4-FFF2-40B4-BE49-F238E27FC236}">
                <a16:creationId xmlns:a16="http://schemas.microsoft.com/office/drawing/2014/main" id="{00000000-0008-0000-0400-000031000000}"/>
              </a:ext>
            </a:extLst>
          </xdr:cNvPr>
          <xdr:cNvSpPr/>
        </xdr:nvSpPr>
        <xdr:spPr>
          <a:xfrm>
            <a:off x="203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0" name="QRANDROID">
            <a:extLst>
              <a:ext uri="{FF2B5EF4-FFF2-40B4-BE49-F238E27FC236}">
                <a16:creationId xmlns:a16="http://schemas.microsoft.com/office/drawing/2014/main" id="{00000000-0008-0000-0400-000032000000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1" name="QRANDROID">
            <a:extLst>
              <a:ext uri="{FF2B5EF4-FFF2-40B4-BE49-F238E27FC236}">
                <a16:creationId xmlns:a16="http://schemas.microsoft.com/office/drawing/2014/main" id="{00000000-0008-0000-0400-000033000000}"/>
              </a:ext>
            </a:extLst>
          </xdr:cNvPr>
          <xdr:cNvSpPr/>
        </xdr:nvSpPr>
        <xdr:spPr>
          <a:xfrm>
            <a:off x="279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2" name="QRANDROID">
            <a:extLst>
              <a:ext uri="{FF2B5EF4-FFF2-40B4-BE49-F238E27FC236}">
                <a16:creationId xmlns:a16="http://schemas.microsoft.com/office/drawing/2014/main" id="{00000000-0008-0000-0400-000034000000}"/>
              </a:ext>
            </a:extLst>
          </xdr:cNvPr>
          <xdr:cNvSpPr/>
        </xdr:nvSpPr>
        <xdr:spPr>
          <a:xfrm>
            <a:off x="292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3" name="QRANDROID">
            <a:extLst>
              <a:ext uri="{FF2B5EF4-FFF2-40B4-BE49-F238E27FC236}">
                <a16:creationId xmlns:a16="http://schemas.microsoft.com/office/drawing/2014/main" id="{00000000-0008-0000-0400-000035000000}"/>
              </a:ext>
            </a:extLst>
          </xdr:cNvPr>
          <xdr:cNvSpPr/>
        </xdr:nvSpPr>
        <xdr:spPr>
          <a:xfrm>
            <a:off x="304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4" name="QRANDROID">
            <a:extLst>
              <a:ext uri="{FF2B5EF4-FFF2-40B4-BE49-F238E27FC236}">
                <a16:creationId xmlns:a16="http://schemas.microsoft.com/office/drawing/2014/main" id="{00000000-0008-0000-0400-000036000000}"/>
              </a:ext>
            </a:extLst>
          </xdr:cNvPr>
          <xdr:cNvSpPr/>
        </xdr:nvSpPr>
        <xdr:spPr>
          <a:xfrm>
            <a:off x="3429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5" name="QRANDROID">
            <a:extLst>
              <a:ext uri="{FF2B5EF4-FFF2-40B4-BE49-F238E27FC236}">
                <a16:creationId xmlns:a16="http://schemas.microsoft.com/office/drawing/2014/main" id="{00000000-0008-0000-0400-000037000000}"/>
              </a:ext>
            </a:extLst>
          </xdr:cNvPr>
          <xdr:cNvSpPr/>
        </xdr:nvSpPr>
        <xdr:spPr>
          <a:xfrm>
            <a:off x="381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6" name="QRANDROID">
            <a:extLst>
              <a:ext uri="{FF2B5EF4-FFF2-40B4-BE49-F238E27FC236}">
                <a16:creationId xmlns:a16="http://schemas.microsoft.com/office/drawing/2014/main" id="{00000000-0008-0000-0400-000038000000}"/>
              </a:ext>
            </a:extLst>
          </xdr:cNvPr>
          <xdr:cNvSpPr/>
        </xdr:nvSpPr>
        <xdr:spPr>
          <a:xfrm>
            <a:off x="406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7" name="QRANDROID">
            <a:extLst>
              <a:ext uri="{FF2B5EF4-FFF2-40B4-BE49-F238E27FC236}">
                <a16:creationId xmlns:a16="http://schemas.microsoft.com/office/drawing/2014/main" id="{00000000-0008-0000-0400-000039000000}"/>
              </a:ext>
            </a:extLst>
          </xdr:cNvPr>
          <xdr:cNvSpPr/>
        </xdr:nvSpPr>
        <xdr:spPr>
          <a:xfrm>
            <a:off x="419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8" name="QRANDROID">
            <a:extLst>
              <a:ext uri="{FF2B5EF4-FFF2-40B4-BE49-F238E27FC236}">
                <a16:creationId xmlns:a16="http://schemas.microsoft.com/office/drawing/2014/main" id="{00000000-0008-0000-0400-00003A000000}"/>
              </a:ext>
            </a:extLst>
          </xdr:cNvPr>
          <xdr:cNvSpPr/>
        </xdr:nvSpPr>
        <xdr:spPr>
          <a:xfrm>
            <a:off x="431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9" name="QRANDROID">
            <a:extLst>
              <a:ext uri="{FF2B5EF4-FFF2-40B4-BE49-F238E27FC236}">
                <a16:creationId xmlns:a16="http://schemas.microsoft.com/office/drawing/2014/main" id="{00000000-0008-0000-0400-00003B000000}"/>
              </a:ext>
            </a:extLst>
          </xdr:cNvPr>
          <xdr:cNvSpPr/>
        </xdr:nvSpPr>
        <xdr:spPr>
          <a:xfrm>
            <a:off x="457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0" name="QRANDROID">
            <a:extLst>
              <a:ext uri="{FF2B5EF4-FFF2-40B4-BE49-F238E27FC236}">
                <a16:creationId xmlns:a16="http://schemas.microsoft.com/office/drawing/2014/main" id="{00000000-0008-0000-0400-00003C00000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1" name="QRANDROID">
            <a:extLst>
              <a:ext uri="{FF2B5EF4-FFF2-40B4-BE49-F238E27FC236}">
                <a16:creationId xmlns:a16="http://schemas.microsoft.com/office/drawing/2014/main" id="{00000000-0008-0000-0400-00003D00000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2" name="QRANDROID">
            <a:extLst>
              <a:ext uri="{FF2B5EF4-FFF2-40B4-BE49-F238E27FC236}">
                <a16:creationId xmlns:a16="http://schemas.microsoft.com/office/drawing/2014/main" id="{00000000-0008-0000-0400-00003E00000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3" name="QRANDROID">
            <a:extLst>
              <a:ext uri="{FF2B5EF4-FFF2-40B4-BE49-F238E27FC236}">
                <a16:creationId xmlns:a16="http://schemas.microsoft.com/office/drawing/2014/main" id="{00000000-0008-0000-0400-00003F000000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4" name="QRANDROID">
            <a:extLst>
              <a:ext uri="{FF2B5EF4-FFF2-40B4-BE49-F238E27FC236}">
                <a16:creationId xmlns:a16="http://schemas.microsoft.com/office/drawing/2014/main" id="{00000000-0008-0000-0400-00004000000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5" name="QRANDROID">
            <a:extLst>
              <a:ext uri="{FF2B5EF4-FFF2-40B4-BE49-F238E27FC236}">
                <a16:creationId xmlns:a16="http://schemas.microsoft.com/office/drawing/2014/main" id="{00000000-0008-0000-0400-000041000000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6" name="QRANDROID">
            <a:extLst>
              <a:ext uri="{FF2B5EF4-FFF2-40B4-BE49-F238E27FC236}">
                <a16:creationId xmlns:a16="http://schemas.microsoft.com/office/drawing/2014/main" id="{00000000-0008-0000-0400-000042000000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7" name="QRANDROID">
            <a:extLst>
              <a:ext uri="{FF2B5EF4-FFF2-40B4-BE49-F238E27FC236}">
                <a16:creationId xmlns:a16="http://schemas.microsoft.com/office/drawing/2014/main" id="{00000000-0008-0000-0400-000043000000}"/>
              </a:ext>
            </a:extLst>
          </xdr:cNvPr>
          <xdr:cNvSpPr/>
        </xdr:nvSpPr>
        <xdr:spPr>
          <a:xfrm>
            <a:off x="177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8" name="QRANDROID">
            <a:extLst>
              <a:ext uri="{FF2B5EF4-FFF2-40B4-BE49-F238E27FC236}">
                <a16:creationId xmlns:a16="http://schemas.microsoft.com/office/drawing/2014/main" id="{00000000-0008-0000-0400-000044000000}"/>
              </a:ext>
            </a:extLst>
          </xdr:cNvPr>
          <xdr:cNvSpPr/>
        </xdr:nvSpPr>
        <xdr:spPr>
          <a:xfrm>
            <a:off x="1905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9" name="QRANDROID">
            <a:extLst>
              <a:ext uri="{FF2B5EF4-FFF2-40B4-BE49-F238E27FC236}">
                <a16:creationId xmlns:a16="http://schemas.microsoft.com/office/drawing/2014/main" id="{00000000-0008-0000-0400-000045000000}"/>
              </a:ext>
            </a:extLst>
          </xdr:cNvPr>
          <xdr:cNvSpPr/>
        </xdr:nvSpPr>
        <xdr:spPr>
          <a:xfrm>
            <a:off x="203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0" name="QRANDROID">
            <a:extLst>
              <a:ext uri="{FF2B5EF4-FFF2-40B4-BE49-F238E27FC236}">
                <a16:creationId xmlns:a16="http://schemas.microsoft.com/office/drawing/2014/main" id="{00000000-0008-0000-0400-000046000000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1" name="QRANDROID">
            <a:extLst>
              <a:ext uri="{FF2B5EF4-FFF2-40B4-BE49-F238E27FC236}">
                <a16:creationId xmlns:a16="http://schemas.microsoft.com/office/drawing/2014/main" id="{00000000-0008-0000-0400-000047000000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2" name="QRANDROID">
            <a:extLst>
              <a:ext uri="{FF2B5EF4-FFF2-40B4-BE49-F238E27FC236}">
                <a16:creationId xmlns:a16="http://schemas.microsoft.com/office/drawing/2014/main" id="{00000000-0008-0000-0400-000048000000}"/>
              </a:ext>
            </a:extLst>
          </xdr:cNvPr>
          <xdr:cNvSpPr/>
        </xdr:nvSpPr>
        <xdr:spPr>
          <a:xfrm>
            <a:off x="292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3" name="QRANDROID">
            <a:extLst>
              <a:ext uri="{FF2B5EF4-FFF2-40B4-BE49-F238E27FC236}">
                <a16:creationId xmlns:a16="http://schemas.microsoft.com/office/drawing/2014/main" id="{00000000-0008-0000-0400-000049000000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4" name="QRANDROID">
            <a:extLst>
              <a:ext uri="{FF2B5EF4-FFF2-40B4-BE49-F238E27FC236}">
                <a16:creationId xmlns:a16="http://schemas.microsoft.com/office/drawing/2014/main" id="{00000000-0008-0000-0400-00004A000000}"/>
              </a:ext>
            </a:extLst>
          </xdr:cNvPr>
          <xdr:cNvSpPr/>
        </xdr:nvSpPr>
        <xdr:spPr>
          <a:xfrm>
            <a:off x="3429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5" name="QRANDROID">
            <a:extLst>
              <a:ext uri="{FF2B5EF4-FFF2-40B4-BE49-F238E27FC236}">
                <a16:creationId xmlns:a16="http://schemas.microsoft.com/office/drawing/2014/main" id="{00000000-0008-0000-0400-00004B000000}"/>
              </a:ext>
            </a:extLst>
          </xdr:cNvPr>
          <xdr:cNvSpPr/>
        </xdr:nvSpPr>
        <xdr:spPr>
          <a:xfrm>
            <a:off x="381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6" name="QRANDROID">
            <a:extLst>
              <a:ext uri="{FF2B5EF4-FFF2-40B4-BE49-F238E27FC236}">
                <a16:creationId xmlns:a16="http://schemas.microsoft.com/office/drawing/2014/main" id="{00000000-0008-0000-0400-00004C000000}"/>
              </a:ext>
            </a:extLst>
          </xdr:cNvPr>
          <xdr:cNvSpPr/>
        </xdr:nvSpPr>
        <xdr:spPr>
          <a:xfrm>
            <a:off x="406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7" name="QRANDROID">
            <a:extLst>
              <a:ext uri="{FF2B5EF4-FFF2-40B4-BE49-F238E27FC236}">
                <a16:creationId xmlns:a16="http://schemas.microsoft.com/office/drawing/2014/main" id="{00000000-0008-0000-0400-00004D000000}"/>
              </a:ext>
            </a:extLst>
          </xdr:cNvPr>
          <xdr:cNvSpPr/>
        </xdr:nvSpPr>
        <xdr:spPr>
          <a:xfrm>
            <a:off x="419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8" name="QRANDROID">
            <a:extLst>
              <a:ext uri="{FF2B5EF4-FFF2-40B4-BE49-F238E27FC236}">
                <a16:creationId xmlns:a16="http://schemas.microsoft.com/office/drawing/2014/main" id="{00000000-0008-0000-0400-00004E000000}"/>
              </a:ext>
            </a:extLst>
          </xdr:cNvPr>
          <xdr:cNvSpPr/>
        </xdr:nvSpPr>
        <xdr:spPr>
          <a:xfrm>
            <a:off x="431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9" name="QRANDROID">
            <a:extLst>
              <a:ext uri="{FF2B5EF4-FFF2-40B4-BE49-F238E27FC236}">
                <a16:creationId xmlns:a16="http://schemas.microsoft.com/office/drawing/2014/main" id="{00000000-0008-0000-0400-00004F000000}"/>
              </a:ext>
            </a:extLst>
          </xdr:cNvPr>
          <xdr:cNvSpPr/>
        </xdr:nvSpPr>
        <xdr:spPr>
          <a:xfrm>
            <a:off x="457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0" name="QRANDROID">
            <a:extLst>
              <a:ext uri="{FF2B5EF4-FFF2-40B4-BE49-F238E27FC236}">
                <a16:creationId xmlns:a16="http://schemas.microsoft.com/office/drawing/2014/main" id="{00000000-0008-0000-0400-000050000000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1" name="QRANDROID">
            <a:extLst>
              <a:ext uri="{FF2B5EF4-FFF2-40B4-BE49-F238E27FC236}">
                <a16:creationId xmlns:a16="http://schemas.microsoft.com/office/drawing/2014/main" id="{00000000-0008-0000-0400-00005100000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2" name="QRANDROID">
            <a:extLst>
              <a:ext uri="{FF2B5EF4-FFF2-40B4-BE49-F238E27FC236}">
                <a16:creationId xmlns:a16="http://schemas.microsoft.com/office/drawing/2014/main" id="{00000000-0008-0000-0400-000052000000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3" name="QRANDROID">
            <a:extLst>
              <a:ext uri="{FF2B5EF4-FFF2-40B4-BE49-F238E27FC236}">
                <a16:creationId xmlns:a16="http://schemas.microsoft.com/office/drawing/2014/main" id="{00000000-0008-0000-0400-00005300000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4" name="QRANDROID">
            <a:extLst>
              <a:ext uri="{FF2B5EF4-FFF2-40B4-BE49-F238E27FC236}">
                <a16:creationId xmlns:a16="http://schemas.microsoft.com/office/drawing/2014/main" id="{00000000-0008-0000-0400-00005400000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5" name="QRANDROID">
            <a:extLst>
              <a:ext uri="{FF2B5EF4-FFF2-40B4-BE49-F238E27FC236}">
                <a16:creationId xmlns:a16="http://schemas.microsoft.com/office/drawing/2014/main" id="{00000000-0008-0000-0400-000055000000}"/>
              </a:ext>
            </a:extLst>
          </xdr:cNvPr>
          <xdr:cNvSpPr/>
        </xdr:nvSpPr>
        <xdr:spPr>
          <a:xfrm>
            <a:off x="101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6" name="QRANDROID">
            <a:extLst>
              <a:ext uri="{FF2B5EF4-FFF2-40B4-BE49-F238E27FC236}">
                <a16:creationId xmlns:a16="http://schemas.microsoft.com/office/drawing/2014/main" id="{00000000-0008-0000-0400-000056000000}"/>
              </a:ext>
            </a:extLst>
          </xdr:cNvPr>
          <xdr:cNvSpPr/>
        </xdr:nvSpPr>
        <xdr:spPr>
          <a:xfrm>
            <a:off x="152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7" name="QRANDROID">
            <a:extLst>
              <a:ext uri="{FF2B5EF4-FFF2-40B4-BE49-F238E27FC236}">
                <a16:creationId xmlns:a16="http://schemas.microsoft.com/office/drawing/2014/main" id="{00000000-0008-0000-0400-000057000000}"/>
              </a:ext>
            </a:extLst>
          </xdr:cNvPr>
          <xdr:cNvSpPr/>
        </xdr:nvSpPr>
        <xdr:spPr>
          <a:xfrm>
            <a:off x="1905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8" name="QRANDROID">
            <a:extLst>
              <a:ext uri="{FF2B5EF4-FFF2-40B4-BE49-F238E27FC236}">
                <a16:creationId xmlns:a16="http://schemas.microsoft.com/office/drawing/2014/main" id="{00000000-0008-0000-0400-000058000000}"/>
              </a:ext>
            </a:extLst>
          </xdr:cNvPr>
          <xdr:cNvSpPr/>
        </xdr:nvSpPr>
        <xdr:spPr>
          <a:xfrm>
            <a:off x="203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9" name="QRANDROID">
            <a:extLst>
              <a:ext uri="{FF2B5EF4-FFF2-40B4-BE49-F238E27FC236}">
                <a16:creationId xmlns:a16="http://schemas.microsoft.com/office/drawing/2014/main" id="{00000000-0008-0000-0400-000059000000}"/>
              </a:ext>
            </a:extLst>
          </xdr:cNvPr>
          <xdr:cNvSpPr/>
        </xdr:nvSpPr>
        <xdr:spPr>
          <a:xfrm>
            <a:off x="2159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0" name="QRANDROID">
            <a:extLst>
              <a:ext uri="{FF2B5EF4-FFF2-40B4-BE49-F238E27FC236}">
                <a16:creationId xmlns:a16="http://schemas.microsoft.com/office/drawing/2014/main" id="{00000000-0008-0000-0400-00005A000000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1" name="QRANDROID">
            <a:extLst>
              <a:ext uri="{FF2B5EF4-FFF2-40B4-BE49-F238E27FC236}">
                <a16:creationId xmlns:a16="http://schemas.microsoft.com/office/drawing/2014/main" id="{00000000-0008-0000-0400-00005B000000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2" name="QRANDROID">
            <a:extLst>
              <a:ext uri="{FF2B5EF4-FFF2-40B4-BE49-F238E27FC236}">
                <a16:creationId xmlns:a16="http://schemas.microsoft.com/office/drawing/2014/main" id="{00000000-0008-0000-0400-00005C000000}"/>
              </a:ext>
            </a:extLst>
          </xdr:cNvPr>
          <xdr:cNvSpPr/>
        </xdr:nvSpPr>
        <xdr:spPr>
          <a:xfrm>
            <a:off x="279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3" name="QRANDROID">
            <a:extLst>
              <a:ext uri="{FF2B5EF4-FFF2-40B4-BE49-F238E27FC236}">
                <a16:creationId xmlns:a16="http://schemas.microsoft.com/office/drawing/2014/main" id="{00000000-0008-0000-0400-00005D000000}"/>
              </a:ext>
            </a:extLst>
          </xdr:cNvPr>
          <xdr:cNvSpPr/>
        </xdr:nvSpPr>
        <xdr:spPr>
          <a:xfrm>
            <a:off x="292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4" name="QRANDROID">
            <a:extLst>
              <a:ext uri="{FF2B5EF4-FFF2-40B4-BE49-F238E27FC236}">
                <a16:creationId xmlns:a16="http://schemas.microsoft.com/office/drawing/2014/main" id="{00000000-0008-0000-0400-00005E000000}"/>
              </a:ext>
            </a:extLst>
          </xdr:cNvPr>
          <xdr:cNvSpPr/>
        </xdr:nvSpPr>
        <xdr:spPr>
          <a:xfrm>
            <a:off x="304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5" name="QRANDROID">
            <a:extLst>
              <a:ext uri="{FF2B5EF4-FFF2-40B4-BE49-F238E27FC236}">
                <a16:creationId xmlns:a16="http://schemas.microsoft.com/office/drawing/2014/main" id="{00000000-0008-0000-0400-00005F000000}"/>
              </a:ext>
            </a:extLst>
          </xdr:cNvPr>
          <xdr:cNvSpPr/>
        </xdr:nvSpPr>
        <xdr:spPr>
          <a:xfrm>
            <a:off x="3429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6" name="QRANDROID">
            <a:extLst>
              <a:ext uri="{FF2B5EF4-FFF2-40B4-BE49-F238E27FC236}">
                <a16:creationId xmlns:a16="http://schemas.microsoft.com/office/drawing/2014/main" id="{00000000-0008-0000-0400-000060000000}"/>
              </a:ext>
            </a:extLst>
          </xdr:cNvPr>
          <xdr:cNvSpPr/>
        </xdr:nvSpPr>
        <xdr:spPr>
          <a:xfrm>
            <a:off x="381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7" name="QRANDROID">
            <a:extLst>
              <a:ext uri="{FF2B5EF4-FFF2-40B4-BE49-F238E27FC236}">
                <a16:creationId xmlns:a16="http://schemas.microsoft.com/office/drawing/2014/main" id="{00000000-0008-0000-0400-000061000000}"/>
              </a:ext>
            </a:extLst>
          </xdr:cNvPr>
          <xdr:cNvSpPr/>
        </xdr:nvSpPr>
        <xdr:spPr>
          <a:xfrm>
            <a:off x="406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8" name="QRANDROID">
            <a:extLst>
              <a:ext uri="{FF2B5EF4-FFF2-40B4-BE49-F238E27FC236}">
                <a16:creationId xmlns:a16="http://schemas.microsoft.com/office/drawing/2014/main" id="{00000000-0008-0000-0400-000062000000}"/>
              </a:ext>
            </a:extLst>
          </xdr:cNvPr>
          <xdr:cNvSpPr/>
        </xdr:nvSpPr>
        <xdr:spPr>
          <a:xfrm>
            <a:off x="419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9" name="QRANDROID">
            <a:extLst>
              <a:ext uri="{FF2B5EF4-FFF2-40B4-BE49-F238E27FC236}">
                <a16:creationId xmlns:a16="http://schemas.microsoft.com/office/drawing/2014/main" id="{00000000-0008-0000-0400-000063000000}"/>
              </a:ext>
            </a:extLst>
          </xdr:cNvPr>
          <xdr:cNvSpPr/>
        </xdr:nvSpPr>
        <xdr:spPr>
          <a:xfrm>
            <a:off x="431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0" name="QRANDROID">
            <a:extLst>
              <a:ext uri="{FF2B5EF4-FFF2-40B4-BE49-F238E27FC236}">
                <a16:creationId xmlns:a16="http://schemas.microsoft.com/office/drawing/2014/main" id="{00000000-0008-0000-0400-000064000000}"/>
              </a:ext>
            </a:extLst>
          </xdr:cNvPr>
          <xdr:cNvSpPr/>
        </xdr:nvSpPr>
        <xdr:spPr>
          <a:xfrm>
            <a:off x="457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1" name="QRANDROID">
            <a:extLst>
              <a:ext uri="{FF2B5EF4-FFF2-40B4-BE49-F238E27FC236}">
                <a16:creationId xmlns:a16="http://schemas.microsoft.com/office/drawing/2014/main" id="{00000000-0008-0000-0400-00006500000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2" name="QRANDROID">
            <a:extLst>
              <a:ext uri="{FF2B5EF4-FFF2-40B4-BE49-F238E27FC236}">
                <a16:creationId xmlns:a16="http://schemas.microsoft.com/office/drawing/2014/main" id="{00000000-0008-0000-0400-00006600000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3" name="QRANDROID">
            <a:extLst>
              <a:ext uri="{FF2B5EF4-FFF2-40B4-BE49-F238E27FC236}">
                <a16:creationId xmlns:a16="http://schemas.microsoft.com/office/drawing/2014/main" id="{00000000-0008-0000-0400-000067000000}"/>
              </a:ext>
            </a:extLst>
          </xdr:cNvPr>
          <xdr:cNvSpPr/>
        </xdr:nvSpPr>
        <xdr:spPr>
          <a:xfrm>
            <a:off x="1143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4" name="QRANDROID">
            <a:extLst>
              <a:ext uri="{FF2B5EF4-FFF2-40B4-BE49-F238E27FC236}">
                <a16:creationId xmlns:a16="http://schemas.microsoft.com/office/drawing/2014/main" id="{00000000-0008-0000-0400-000068000000}"/>
              </a:ext>
            </a:extLst>
          </xdr:cNvPr>
          <xdr:cNvSpPr/>
        </xdr:nvSpPr>
        <xdr:spPr>
          <a:xfrm>
            <a:off x="1270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5" name="QRANDROID">
            <a:extLst>
              <a:ext uri="{FF2B5EF4-FFF2-40B4-BE49-F238E27FC236}">
                <a16:creationId xmlns:a16="http://schemas.microsoft.com/office/drawing/2014/main" id="{00000000-0008-0000-0400-000069000000}"/>
              </a:ext>
            </a:extLst>
          </xdr:cNvPr>
          <xdr:cNvSpPr/>
        </xdr:nvSpPr>
        <xdr:spPr>
          <a:xfrm>
            <a:off x="139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6" name="QRANDROID">
            <a:extLst>
              <a:ext uri="{FF2B5EF4-FFF2-40B4-BE49-F238E27FC236}">
                <a16:creationId xmlns:a16="http://schemas.microsoft.com/office/drawing/2014/main" id="{00000000-0008-0000-0400-00006A000000}"/>
              </a:ext>
            </a:extLst>
          </xdr:cNvPr>
          <xdr:cNvSpPr/>
        </xdr:nvSpPr>
        <xdr:spPr>
          <a:xfrm>
            <a:off x="152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7" name="QRANDROID">
            <a:extLst>
              <a:ext uri="{FF2B5EF4-FFF2-40B4-BE49-F238E27FC236}">
                <a16:creationId xmlns:a16="http://schemas.microsoft.com/office/drawing/2014/main" id="{00000000-0008-0000-0400-00006B000000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8" name="QRANDROID">
            <a:extLst>
              <a:ext uri="{FF2B5EF4-FFF2-40B4-BE49-F238E27FC236}">
                <a16:creationId xmlns:a16="http://schemas.microsoft.com/office/drawing/2014/main" id="{00000000-0008-0000-0400-00006C000000}"/>
              </a:ext>
            </a:extLst>
          </xdr:cNvPr>
          <xdr:cNvSpPr/>
        </xdr:nvSpPr>
        <xdr:spPr>
          <a:xfrm>
            <a:off x="2286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9" name="QRANDROID">
            <a:extLst>
              <a:ext uri="{FF2B5EF4-FFF2-40B4-BE49-F238E27FC236}">
                <a16:creationId xmlns:a16="http://schemas.microsoft.com/office/drawing/2014/main" id="{00000000-0008-0000-0400-00006D000000}"/>
              </a:ext>
            </a:extLst>
          </xdr:cNvPr>
          <xdr:cNvSpPr/>
        </xdr:nvSpPr>
        <xdr:spPr>
          <a:xfrm>
            <a:off x="2413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0" name="QRANDROID">
            <a:extLst>
              <a:ext uri="{FF2B5EF4-FFF2-40B4-BE49-F238E27FC236}">
                <a16:creationId xmlns:a16="http://schemas.microsoft.com/office/drawing/2014/main" id="{00000000-0008-0000-0400-00006E000000}"/>
              </a:ext>
            </a:extLst>
          </xdr:cNvPr>
          <xdr:cNvSpPr/>
        </xdr:nvSpPr>
        <xdr:spPr>
          <a:xfrm>
            <a:off x="2540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1" name="QRANDROID">
            <a:extLst>
              <a:ext uri="{FF2B5EF4-FFF2-40B4-BE49-F238E27FC236}">
                <a16:creationId xmlns:a16="http://schemas.microsoft.com/office/drawing/2014/main" id="{00000000-0008-0000-0400-00006F000000}"/>
              </a:ext>
            </a:extLst>
          </xdr:cNvPr>
          <xdr:cNvSpPr/>
        </xdr:nvSpPr>
        <xdr:spPr>
          <a:xfrm>
            <a:off x="2921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2" name="QRANDROID">
            <a:extLst>
              <a:ext uri="{FF2B5EF4-FFF2-40B4-BE49-F238E27FC236}">
                <a16:creationId xmlns:a16="http://schemas.microsoft.com/office/drawing/2014/main" id="{00000000-0008-0000-0400-000070000000}"/>
              </a:ext>
            </a:extLst>
          </xdr:cNvPr>
          <xdr:cNvSpPr/>
        </xdr:nvSpPr>
        <xdr:spPr>
          <a:xfrm>
            <a:off x="3048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3" name="QRANDROID">
            <a:extLst>
              <a:ext uri="{FF2B5EF4-FFF2-40B4-BE49-F238E27FC236}">
                <a16:creationId xmlns:a16="http://schemas.microsoft.com/office/drawing/2014/main" id="{00000000-0008-0000-0400-000071000000}"/>
              </a:ext>
            </a:extLst>
          </xdr:cNvPr>
          <xdr:cNvSpPr/>
        </xdr:nvSpPr>
        <xdr:spPr>
          <a:xfrm>
            <a:off x="3429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4" name="QRANDROID">
            <a:extLst>
              <a:ext uri="{FF2B5EF4-FFF2-40B4-BE49-F238E27FC236}">
                <a16:creationId xmlns:a16="http://schemas.microsoft.com/office/drawing/2014/main" id="{00000000-0008-0000-0400-000072000000}"/>
              </a:ext>
            </a:extLst>
          </xdr:cNvPr>
          <xdr:cNvSpPr/>
        </xdr:nvSpPr>
        <xdr:spPr>
          <a:xfrm>
            <a:off x="3556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5" name="QRANDROID">
            <a:extLst>
              <a:ext uri="{FF2B5EF4-FFF2-40B4-BE49-F238E27FC236}">
                <a16:creationId xmlns:a16="http://schemas.microsoft.com/office/drawing/2014/main" id="{00000000-0008-0000-0400-000073000000}"/>
              </a:ext>
            </a:extLst>
          </xdr:cNvPr>
          <xdr:cNvSpPr/>
        </xdr:nvSpPr>
        <xdr:spPr>
          <a:xfrm>
            <a:off x="3810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6" name="QRANDROID">
            <a:extLst>
              <a:ext uri="{FF2B5EF4-FFF2-40B4-BE49-F238E27FC236}">
                <a16:creationId xmlns:a16="http://schemas.microsoft.com/office/drawing/2014/main" id="{00000000-0008-0000-0400-000074000000}"/>
              </a:ext>
            </a:extLst>
          </xdr:cNvPr>
          <xdr:cNvSpPr/>
        </xdr:nvSpPr>
        <xdr:spPr>
          <a:xfrm>
            <a:off x="457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7" name="QRANDROID">
            <a:extLst>
              <a:ext uri="{FF2B5EF4-FFF2-40B4-BE49-F238E27FC236}">
                <a16:creationId xmlns:a16="http://schemas.microsoft.com/office/drawing/2014/main" id="{00000000-0008-0000-0400-000075000000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8" name="QRANDROID">
            <a:extLst>
              <a:ext uri="{FF2B5EF4-FFF2-40B4-BE49-F238E27FC236}">
                <a16:creationId xmlns:a16="http://schemas.microsoft.com/office/drawing/2014/main" id="{00000000-0008-0000-0400-00007600000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9" name="QRANDROID">
            <a:extLst>
              <a:ext uri="{FF2B5EF4-FFF2-40B4-BE49-F238E27FC236}">
                <a16:creationId xmlns:a16="http://schemas.microsoft.com/office/drawing/2014/main" id="{00000000-0008-0000-0400-00007700000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0" name="QRANDROID">
            <a:extLst>
              <a:ext uri="{FF2B5EF4-FFF2-40B4-BE49-F238E27FC236}">
                <a16:creationId xmlns:a16="http://schemas.microsoft.com/office/drawing/2014/main" id="{00000000-0008-0000-0400-000078000000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1" name="QRANDROID">
            <a:extLst>
              <a:ext uri="{FF2B5EF4-FFF2-40B4-BE49-F238E27FC236}">
                <a16:creationId xmlns:a16="http://schemas.microsoft.com/office/drawing/2014/main" id="{00000000-0008-0000-0400-00007900000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2" name="QRANDROID">
            <a:extLst>
              <a:ext uri="{FF2B5EF4-FFF2-40B4-BE49-F238E27FC236}">
                <a16:creationId xmlns:a16="http://schemas.microsoft.com/office/drawing/2014/main" id="{00000000-0008-0000-0400-00007A000000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3" name="QRANDROID">
            <a:extLst>
              <a:ext uri="{FF2B5EF4-FFF2-40B4-BE49-F238E27FC236}">
                <a16:creationId xmlns:a16="http://schemas.microsoft.com/office/drawing/2014/main" id="{00000000-0008-0000-0400-00007B00000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4" name="QRANDROID">
            <a:extLst>
              <a:ext uri="{FF2B5EF4-FFF2-40B4-BE49-F238E27FC236}">
                <a16:creationId xmlns:a16="http://schemas.microsoft.com/office/drawing/2014/main" id="{00000000-0008-0000-0400-00007C00000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5" name="QRANDROID">
            <a:extLst>
              <a:ext uri="{FF2B5EF4-FFF2-40B4-BE49-F238E27FC236}">
                <a16:creationId xmlns:a16="http://schemas.microsoft.com/office/drawing/2014/main" id="{00000000-0008-0000-0400-00007D000000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6" name="QRANDROID">
            <a:extLst>
              <a:ext uri="{FF2B5EF4-FFF2-40B4-BE49-F238E27FC236}">
                <a16:creationId xmlns:a16="http://schemas.microsoft.com/office/drawing/2014/main" id="{00000000-0008-0000-0400-00007E00000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7" name="QRANDROID">
            <a:extLst>
              <a:ext uri="{FF2B5EF4-FFF2-40B4-BE49-F238E27FC236}">
                <a16:creationId xmlns:a16="http://schemas.microsoft.com/office/drawing/2014/main" id="{00000000-0008-0000-0400-00007F00000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8" name="QRANDROID">
            <a:extLst>
              <a:ext uri="{FF2B5EF4-FFF2-40B4-BE49-F238E27FC236}">
                <a16:creationId xmlns:a16="http://schemas.microsoft.com/office/drawing/2014/main" id="{00000000-0008-0000-0400-00008000000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9" name="QRANDROID">
            <a:extLst>
              <a:ext uri="{FF2B5EF4-FFF2-40B4-BE49-F238E27FC236}">
                <a16:creationId xmlns:a16="http://schemas.microsoft.com/office/drawing/2014/main" id="{00000000-0008-0000-0400-00008100000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0" name="QRANDROID">
            <a:extLst>
              <a:ext uri="{FF2B5EF4-FFF2-40B4-BE49-F238E27FC236}">
                <a16:creationId xmlns:a16="http://schemas.microsoft.com/office/drawing/2014/main" id="{00000000-0008-0000-0400-000082000000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1" name="QRANDROID">
            <a:extLst>
              <a:ext uri="{FF2B5EF4-FFF2-40B4-BE49-F238E27FC236}">
                <a16:creationId xmlns:a16="http://schemas.microsoft.com/office/drawing/2014/main" id="{00000000-0008-0000-0400-000083000000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2" name="QRANDROID">
            <a:extLst>
              <a:ext uri="{FF2B5EF4-FFF2-40B4-BE49-F238E27FC236}">
                <a16:creationId xmlns:a16="http://schemas.microsoft.com/office/drawing/2014/main" id="{00000000-0008-0000-0400-000084000000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3" name="QRANDROID">
            <a:extLst>
              <a:ext uri="{FF2B5EF4-FFF2-40B4-BE49-F238E27FC236}">
                <a16:creationId xmlns:a16="http://schemas.microsoft.com/office/drawing/2014/main" id="{00000000-0008-0000-0400-000085000000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4" name="QRANDROID">
            <a:extLst>
              <a:ext uri="{FF2B5EF4-FFF2-40B4-BE49-F238E27FC236}">
                <a16:creationId xmlns:a16="http://schemas.microsoft.com/office/drawing/2014/main" id="{00000000-0008-0000-0400-000086000000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5" name="QRANDROID">
            <a:extLst>
              <a:ext uri="{FF2B5EF4-FFF2-40B4-BE49-F238E27FC236}">
                <a16:creationId xmlns:a16="http://schemas.microsoft.com/office/drawing/2014/main" id="{00000000-0008-0000-0400-000087000000}"/>
              </a:ext>
            </a:extLst>
          </xdr:cNvPr>
          <xdr:cNvSpPr/>
        </xdr:nvSpPr>
        <xdr:spPr>
          <a:xfrm>
            <a:off x="381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" name="QRANDROID">
            <a:extLst>
              <a:ext uri="{FF2B5EF4-FFF2-40B4-BE49-F238E27FC236}">
                <a16:creationId xmlns:a16="http://schemas.microsoft.com/office/drawing/2014/main" id="{00000000-0008-0000-0400-000088000000}"/>
              </a:ext>
            </a:extLst>
          </xdr:cNvPr>
          <xdr:cNvSpPr/>
        </xdr:nvSpPr>
        <xdr:spPr>
          <a:xfrm>
            <a:off x="393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" name="QRANDROID">
            <a:extLst>
              <a:ext uri="{FF2B5EF4-FFF2-40B4-BE49-F238E27FC236}">
                <a16:creationId xmlns:a16="http://schemas.microsoft.com/office/drawing/2014/main" id="{00000000-0008-0000-0400-000089000000}"/>
              </a:ext>
            </a:extLst>
          </xdr:cNvPr>
          <xdr:cNvSpPr/>
        </xdr:nvSpPr>
        <xdr:spPr>
          <a:xfrm>
            <a:off x="406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8" name="QRANDROID">
            <a:extLst>
              <a:ext uri="{FF2B5EF4-FFF2-40B4-BE49-F238E27FC236}">
                <a16:creationId xmlns:a16="http://schemas.microsoft.com/office/drawing/2014/main" id="{00000000-0008-0000-0400-00008A000000}"/>
              </a:ext>
            </a:extLst>
          </xdr:cNvPr>
          <xdr:cNvSpPr/>
        </xdr:nvSpPr>
        <xdr:spPr>
          <a:xfrm>
            <a:off x="419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9" name="QRANDROID">
            <a:extLst>
              <a:ext uri="{FF2B5EF4-FFF2-40B4-BE49-F238E27FC236}">
                <a16:creationId xmlns:a16="http://schemas.microsoft.com/office/drawing/2014/main" id="{00000000-0008-0000-0400-00008B000000}"/>
              </a:ext>
            </a:extLst>
          </xdr:cNvPr>
          <xdr:cNvSpPr/>
        </xdr:nvSpPr>
        <xdr:spPr>
          <a:xfrm>
            <a:off x="431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0" name="QRANDROID">
            <a:extLst>
              <a:ext uri="{FF2B5EF4-FFF2-40B4-BE49-F238E27FC236}">
                <a16:creationId xmlns:a16="http://schemas.microsoft.com/office/drawing/2014/main" id="{00000000-0008-0000-0400-00008C000000}"/>
              </a:ext>
            </a:extLst>
          </xdr:cNvPr>
          <xdr:cNvSpPr/>
        </xdr:nvSpPr>
        <xdr:spPr>
          <a:xfrm>
            <a:off x="444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" name="QRANDROID">
            <a:extLst>
              <a:ext uri="{FF2B5EF4-FFF2-40B4-BE49-F238E27FC236}">
                <a16:creationId xmlns:a16="http://schemas.microsoft.com/office/drawing/2014/main" id="{00000000-0008-0000-0400-00008D000000}"/>
              </a:ext>
            </a:extLst>
          </xdr:cNvPr>
          <xdr:cNvSpPr/>
        </xdr:nvSpPr>
        <xdr:spPr>
          <a:xfrm>
            <a:off x="457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2" name="QRANDROID">
            <a:extLst>
              <a:ext uri="{FF2B5EF4-FFF2-40B4-BE49-F238E27FC236}">
                <a16:creationId xmlns:a16="http://schemas.microsoft.com/office/drawing/2014/main" id="{00000000-0008-0000-0400-00008E000000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3" name="QRANDROID">
            <a:extLst>
              <a:ext uri="{FF2B5EF4-FFF2-40B4-BE49-F238E27FC236}">
                <a16:creationId xmlns:a16="http://schemas.microsoft.com/office/drawing/2014/main" id="{00000000-0008-0000-0400-00008F000000}"/>
              </a:ext>
            </a:extLst>
          </xdr:cNvPr>
          <xdr:cNvSpPr/>
        </xdr:nvSpPr>
        <xdr:spPr>
          <a:xfrm>
            <a:off x="139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4" name="QRANDROID">
            <a:extLst>
              <a:ext uri="{FF2B5EF4-FFF2-40B4-BE49-F238E27FC236}">
                <a16:creationId xmlns:a16="http://schemas.microsoft.com/office/drawing/2014/main" id="{00000000-0008-0000-0400-000090000000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5" name="QRANDROID">
            <a:extLst>
              <a:ext uri="{FF2B5EF4-FFF2-40B4-BE49-F238E27FC236}">
                <a16:creationId xmlns:a16="http://schemas.microsoft.com/office/drawing/2014/main" id="{00000000-0008-0000-0400-000091000000}"/>
              </a:ext>
            </a:extLst>
          </xdr:cNvPr>
          <xdr:cNvSpPr/>
        </xdr:nvSpPr>
        <xdr:spPr>
          <a:xfrm>
            <a:off x="1778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6" name="QRANDROID">
            <a:extLst>
              <a:ext uri="{FF2B5EF4-FFF2-40B4-BE49-F238E27FC236}">
                <a16:creationId xmlns:a16="http://schemas.microsoft.com/office/drawing/2014/main" id="{00000000-0008-0000-0400-000092000000}"/>
              </a:ext>
            </a:extLst>
          </xdr:cNvPr>
          <xdr:cNvSpPr/>
        </xdr:nvSpPr>
        <xdr:spPr>
          <a:xfrm>
            <a:off x="1905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7" name="QRANDROID">
            <a:extLst>
              <a:ext uri="{FF2B5EF4-FFF2-40B4-BE49-F238E27FC236}">
                <a16:creationId xmlns:a16="http://schemas.microsoft.com/office/drawing/2014/main" id="{00000000-0008-0000-0400-000093000000}"/>
              </a:ext>
            </a:extLst>
          </xdr:cNvPr>
          <xdr:cNvSpPr/>
        </xdr:nvSpPr>
        <xdr:spPr>
          <a:xfrm>
            <a:off x="2032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8" name="QRANDROID">
            <a:extLst>
              <a:ext uri="{FF2B5EF4-FFF2-40B4-BE49-F238E27FC236}">
                <a16:creationId xmlns:a16="http://schemas.microsoft.com/office/drawing/2014/main" id="{00000000-0008-0000-0400-000094000000}"/>
              </a:ext>
            </a:extLst>
          </xdr:cNvPr>
          <xdr:cNvSpPr/>
        </xdr:nvSpPr>
        <xdr:spPr>
          <a:xfrm>
            <a:off x="2159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9" name="QRANDROID">
            <a:extLst>
              <a:ext uri="{FF2B5EF4-FFF2-40B4-BE49-F238E27FC236}">
                <a16:creationId xmlns:a16="http://schemas.microsoft.com/office/drawing/2014/main" id="{00000000-0008-0000-0400-000095000000}"/>
              </a:ext>
            </a:extLst>
          </xdr:cNvPr>
          <xdr:cNvSpPr/>
        </xdr:nvSpPr>
        <xdr:spPr>
          <a:xfrm>
            <a:off x="2286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50" name="QRANDROID">
            <a:extLst>
              <a:ext uri="{FF2B5EF4-FFF2-40B4-BE49-F238E27FC236}">
                <a16:creationId xmlns:a16="http://schemas.microsoft.com/office/drawing/2014/main" id="{00000000-0008-0000-0400-000096000000}"/>
              </a:ext>
            </a:extLst>
          </xdr:cNvPr>
          <xdr:cNvSpPr/>
        </xdr:nvSpPr>
        <xdr:spPr>
          <a:xfrm>
            <a:off x="266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51" name="QRANDROID">
            <a:extLst>
              <a:ext uri="{FF2B5EF4-FFF2-40B4-BE49-F238E27FC236}">
                <a16:creationId xmlns:a16="http://schemas.microsoft.com/office/drawing/2014/main" id="{00000000-0008-0000-0400-000097000000}"/>
              </a:ext>
            </a:extLst>
          </xdr:cNvPr>
          <xdr:cNvSpPr/>
        </xdr:nvSpPr>
        <xdr:spPr>
          <a:xfrm>
            <a:off x="2794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52" name="QRANDROID">
            <a:extLst>
              <a:ext uri="{FF2B5EF4-FFF2-40B4-BE49-F238E27FC236}">
                <a16:creationId xmlns:a16="http://schemas.microsoft.com/office/drawing/2014/main" id="{00000000-0008-0000-0400-000098000000}"/>
              </a:ext>
            </a:extLst>
          </xdr:cNvPr>
          <xdr:cNvSpPr/>
        </xdr:nvSpPr>
        <xdr:spPr>
          <a:xfrm>
            <a:off x="3175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53" name="QRANDROID">
            <a:extLst>
              <a:ext uri="{FF2B5EF4-FFF2-40B4-BE49-F238E27FC236}">
                <a16:creationId xmlns:a16="http://schemas.microsoft.com/office/drawing/2014/main" id="{00000000-0008-0000-0400-000099000000}"/>
              </a:ext>
            </a:extLst>
          </xdr:cNvPr>
          <xdr:cNvSpPr/>
        </xdr:nvSpPr>
        <xdr:spPr>
          <a:xfrm>
            <a:off x="3302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54" name="QRANDROID">
            <a:extLst>
              <a:ext uri="{FF2B5EF4-FFF2-40B4-BE49-F238E27FC236}">
                <a16:creationId xmlns:a16="http://schemas.microsoft.com/office/drawing/2014/main" id="{00000000-0008-0000-0400-00009A000000}"/>
              </a:ext>
            </a:extLst>
          </xdr:cNvPr>
          <xdr:cNvSpPr/>
        </xdr:nvSpPr>
        <xdr:spPr>
          <a:xfrm>
            <a:off x="3556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55" name="QRANDROID">
            <a:extLst>
              <a:ext uri="{FF2B5EF4-FFF2-40B4-BE49-F238E27FC236}">
                <a16:creationId xmlns:a16="http://schemas.microsoft.com/office/drawing/2014/main" id="{00000000-0008-0000-0400-00009B000000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56" name="QRANDROID">
            <a:extLst>
              <a:ext uri="{FF2B5EF4-FFF2-40B4-BE49-F238E27FC236}">
                <a16:creationId xmlns:a16="http://schemas.microsoft.com/office/drawing/2014/main" id="{00000000-0008-0000-0400-00009C000000}"/>
              </a:ext>
            </a:extLst>
          </xdr:cNvPr>
          <xdr:cNvSpPr/>
        </xdr:nvSpPr>
        <xdr:spPr>
          <a:xfrm>
            <a:off x="25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57" name="QRANDROID">
            <a:extLst>
              <a:ext uri="{FF2B5EF4-FFF2-40B4-BE49-F238E27FC236}">
                <a16:creationId xmlns:a16="http://schemas.microsoft.com/office/drawing/2014/main" id="{00000000-0008-0000-0400-00009D000000}"/>
              </a:ext>
            </a:extLst>
          </xdr:cNvPr>
          <xdr:cNvSpPr/>
        </xdr:nvSpPr>
        <xdr:spPr>
          <a:xfrm>
            <a:off x="50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58" name="QRANDROID">
            <a:extLst>
              <a:ext uri="{FF2B5EF4-FFF2-40B4-BE49-F238E27FC236}">
                <a16:creationId xmlns:a16="http://schemas.microsoft.com/office/drawing/2014/main" id="{00000000-0008-0000-0400-00009E00000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59" name="QRANDROID">
            <a:extLst>
              <a:ext uri="{FF2B5EF4-FFF2-40B4-BE49-F238E27FC236}">
                <a16:creationId xmlns:a16="http://schemas.microsoft.com/office/drawing/2014/main" id="{00000000-0008-0000-0400-00009F000000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60" name="QRANDROID">
            <a:extLst>
              <a:ext uri="{FF2B5EF4-FFF2-40B4-BE49-F238E27FC236}">
                <a16:creationId xmlns:a16="http://schemas.microsoft.com/office/drawing/2014/main" id="{00000000-0008-0000-0400-0000A0000000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61" name="QRANDROID">
            <a:extLst>
              <a:ext uri="{FF2B5EF4-FFF2-40B4-BE49-F238E27FC236}">
                <a16:creationId xmlns:a16="http://schemas.microsoft.com/office/drawing/2014/main" id="{00000000-0008-0000-0400-0000A1000000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62" name="QRANDROID">
            <a:extLst>
              <a:ext uri="{FF2B5EF4-FFF2-40B4-BE49-F238E27FC236}">
                <a16:creationId xmlns:a16="http://schemas.microsoft.com/office/drawing/2014/main" id="{00000000-0008-0000-0400-0000A2000000}"/>
              </a:ext>
            </a:extLst>
          </xdr:cNvPr>
          <xdr:cNvSpPr/>
        </xdr:nvSpPr>
        <xdr:spPr>
          <a:xfrm>
            <a:off x="165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63" name="QRANDROID">
            <a:extLst>
              <a:ext uri="{FF2B5EF4-FFF2-40B4-BE49-F238E27FC236}">
                <a16:creationId xmlns:a16="http://schemas.microsoft.com/office/drawing/2014/main" id="{00000000-0008-0000-0400-0000A300000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64" name="QRANDROID">
            <a:extLst>
              <a:ext uri="{FF2B5EF4-FFF2-40B4-BE49-F238E27FC236}">
                <a16:creationId xmlns:a16="http://schemas.microsoft.com/office/drawing/2014/main" id="{00000000-0008-0000-0400-0000A4000000}"/>
              </a:ext>
            </a:extLst>
          </xdr:cNvPr>
          <xdr:cNvSpPr/>
        </xdr:nvSpPr>
        <xdr:spPr>
          <a:xfrm>
            <a:off x="241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65" name="QRANDROID">
            <a:extLst>
              <a:ext uri="{FF2B5EF4-FFF2-40B4-BE49-F238E27FC236}">
                <a16:creationId xmlns:a16="http://schemas.microsoft.com/office/drawing/2014/main" id="{00000000-0008-0000-0400-0000A5000000}"/>
              </a:ext>
            </a:extLst>
          </xdr:cNvPr>
          <xdr:cNvSpPr/>
        </xdr:nvSpPr>
        <xdr:spPr>
          <a:xfrm>
            <a:off x="3556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66" name="QRANDROID">
            <a:extLst>
              <a:ext uri="{FF2B5EF4-FFF2-40B4-BE49-F238E27FC236}">
                <a16:creationId xmlns:a16="http://schemas.microsoft.com/office/drawing/2014/main" id="{00000000-0008-0000-0400-0000A6000000}"/>
              </a:ext>
            </a:extLst>
          </xdr:cNvPr>
          <xdr:cNvSpPr/>
        </xdr:nvSpPr>
        <xdr:spPr>
          <a:xfrm>
            <a:off x="406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67" name="QRANDROID">
            <a:extLst>
              <a:ext uri="{FF2B5EF4-FFF2-40B4-BE49-F238E27FC236}">
                <a16:creationId xmlns:a16="http://schemas.microsoft.com/office/drawing/2014/main" id="{00000000-0008-0000-0400-0000A7000000}"/>
              </a:ext>
            </a:extLst>
          </xdr:cNvPr>
          <xdr:cNvSpPr/>
        </xdr:nvSpPr>
        <xdr:spPr>
          <a:xfrm>
            <a:off x="444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68" name="QRANDROID">
            <a:extLst>
              <a:ext uri="{FF2B5EF4-FFF2-40B4-BE49-F238E27FC236}">
                <a16:creationId xmlns:a16="http://schemas.microsoft.com/office/drawing/2014/main" id="{00000000-0008-0000-0400-0000A8000000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69" name="QRANDROID">
            <a:extLst>
              <a:ext uri="{FF2B5EF4-FFF2-40B4-BE49-F238E27FC236}">
                <a16:creationId xmlns:a16="http://schemas.microsoft.com/office/drawing/2014/main" id="{00000000-0008-0000-0400-0000A9000000}"/>
              </a:ext>
            </a:extLst>
          </xdr:cNvPr>
          <xdr:cNvSpPr/>
        </xdr:nvSpPr>
        <xdr:spPr>
          <a:xfrm>
            <a:off x="38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70" name="QRANDROID">
            <a:extLst>
              <a:ext uri="{FF2B5EF4-FFF2-40B4-BE49-F238E27FC236}">
                <a16:creationId xmlns:a16="http://schemas.microsoft.com/office/drawing/2014/main" id="{00000000-0008-0000-0400-0000AA000000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71" name="QRANDROID">
            <a:extLst>
              <a:ext uri="{FF2B5EF4-FFF2-40B4-BE49-F238E27FC236}">
                <a16:creationId xmlns:a16="http://schemas.microsoft.com/office/drawing/2014/main" id="{00000000-0008-0000-0400-0000AB000000}"/>
              </a:ext>
            </a:extLst>
          </xdr:cNvPr>
          <xdr:cNvSpPr/>
        </xdr:nvSpPr>
        <xdr:spPr>
          <a:xfrm>
            <a:off x="101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72" name="QRANDROID">
            <a:extLst>
              <a:ext uri="{FF2B5EF4-FFF2-40B4-BE49-F238E27FC236}">
                <a16:creationId xmlns:a16="http://schemas.microsoft.com/office/drawing/2014/main" id="{00000000-0008-0000-0400-0000AC000000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73" name="QRANDROID">
            <a:extLst>
              <a:ext uri="{FF2B5EF4-FFF2-40B4-BE49-F238E27FC236}">
                <a16:creationId xmlns:a16="http://schemas.microsoft.com/office/drawing/2014/main" id="{00000000-0008-0000-0400-0000AD000000}"/>
              </a:ext>
            </a:extLst>
          </xdr:cNvPr>
          <xdr:cNvSpPr/>
        </xdr:nvSpPr>
        <xdr:spPr>
          <a:xfrm>
            <a:off x="127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74" name="QRANDROID">
            <a:extLst>
              <a:ext uri="{FF2B5EF4-FFF2-40B4-BE49-F238E27FC236}">
                <a16:creationId xmlns:a16="http://schemas.microsoft.com/office/drawing/2014/main" id="{00000000-0008-0000-0400-0000AE000000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75" name="QRANDROID">
            <a:extLst>
              <a:ext uri="{FF2B5EF4-FFF2-40B4-BE49-F238E27FC236}">
                <a16:creationId xmlns:a16="http://schemas.microsoft.com/office/drawing/2014/main" id="{00000000-0008-0000-0400-0000AF000000}"/>
              </a:ext>
            </a:extLst>
          </xdr:cNvPr>
          <xdr:cNvSpPr/>
        </xdr:nvSpPr>
        <xdr:spPr>
          <a:xfrm>
            <a:off x="2159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76" name="QRANDROID">
            <a:extLst>
              <a:ext uri="{FF2B5EF4-FFF2-40B4-BE49-F238E27FC236}">
                <a16:creationId xmlns:a16="http://schemas.microsoft.com/office/drawing/2014/main" id="{00000000-0008-0000-0400-0000B0000000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77" name="QRANDROID">
            <a:extLst>
              <a:ext uri="{FF2B5EF4-FFF2-40B4-BE49-F238E27FC236}">
                <a16:creationId xmlns:a16="http://schemas.microsoft.com/office/drawing/2014/main" id="{00000000-0008-0000-0400-0000B1000000}"/>
              </a:ext>
            </a:extLst>
          </xdr:cNvPr>
          <xdr:cNvSpPr/>
        </xdr:nvSpPr>
        <xdr:spPr>
          <a:xfrm>
            <a:off x="2413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78" name="QRANDROID">
            <a:extLst>
              <a:ext uri="{FF2B5EF4-FFF2-40B4-BE49-F238E27FC236}">
                <a16:creationId xmlns:a16="http://schemas.microsoft.com/office/drawing/2014/main" id="{00000000-0008-0000-0400-0000B2000000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79" name="QRANDROID">
            <a:extLst>
              <a:ext uri="{FF2B5EF4-FFF2-40B4-BE49-F238E27FC236}">
                <a16:creationId xmlns:a16="http://schemas.microsoft.com/office/drawing/2014/main" id="{00000000-0008-0000-0400-0000B3000000}"/>
              </a:ext>
            </a:extLst>
          </xdr:cNvPr>
          <xdr:cNvSpPr/>
        </xdr:nvSpPr>
        <xdr:spPr>
          <a:xfrm>
            <a:off x="266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80" name="QRANDROID">
            <a:extLst>
              <a:ext uri="{FF2B5EF4-FFF2-40B4-BE49-F238E27FC236}">
                <a16:creationId xmlns:a16="http://schemas.microsoft.com/office/drawing/2014/main" id="{00000000-0008-0000-0400-0000B4000000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81" name="QRANDROID">
            <a:extLst>
              <a:ext uri="{FF2B5EF4-FFF2-40B4-BE49-F238E27FC236}">
                <a16:creationId xmlns:a16="http://schemas.microsoft.com/office/drawing/2014/main" id="{00000000-0008-0000-0400-0000B5000000}"/>
              </a:ext>
            </a:extLst>
          </xdr:cNvPr>
          <xdr:cNvSpPr/>
        </xdr:nvSpPr>
        <xdr:spPr>
          <a:xfrm>
            <a:off x="3048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82" name="QRANDROID">
            <a:extLst>
              <a:ext uri="{FF2B5EF4-FFF2-40B4-BE49-F238E27FC236}">
                <a16:creationId xmlns:a16="http://schemas.microsoft.com/office/drawing/2014/main" id="{00000000-0008-0000-0400-0000B6000000}"/>
              </a:ext>
            </a:extLst>
          </xdr:cNvPr>
          <xdr:cNvSpPr/>
        </xdr:nvSpPr>
        <xdr:spPr>
          <a:xfrm>
            <a:off x="3175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83" name="QRANDROID">
            <a:extLst>
              <a:ext uri="{FF2B5EF4-FFF2-40B4-BE49-F238E27FC236}">
                <a16:creationId xmlns:a16="http://schemas.microsoft.com/office/drawing/2014/main" id="{00000000-0008-0000-0400-0000B7000000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84" name="QRANDROID">
            <a:extLst>
              <a:ext uri="{FF2B5EF4-FFF2-40B4-BE49-F238E27FC236}">
                <a16:creationId xmlns:a16="http://schemas.microsoft.com/office/drawing/2014/main" id="{00000000-0008-0000-0400-0000B8000000}"/>
              </a:ext>
            </a:extLst>
          </xdr:cNvPr>
          <xdr:cNvSpPr/>
        </xdr:nvSpPr>
        <xdr:spPr>
          <a:xfrm>
            <a:off x="3429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85" name="QRANDROID">
            <a:extLst>
              <a:ext uri="{FF2B5EF4-FFF2-40B4-BE49-F238E27FC236}">
                <a16:creationId xmlns:a16="http://schemas.microsoft.com/office/drawing/2014/main" id="{00000000-0008-0000-0400-0000B9000000}"/>
              </a:ext>
            </a:extLst>
          </xdr:cNvPr>
          <xdr:cNvSpPr/>
        </xdr:nvSpPr>
        <xdr:spPr>
          <a:xfrm>
            <a:off x="355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86" name="QRANDROID">
            <a:extLst>
              <a:ext uri="{FF2B5EF4-FFF2-40B4-BE49-F238E27FC236}">
                <a16:creationId xmlns:a16="http://schemas.microsoft.com/office/drawing/2014/main" id="{00000000-0008-0000-0400-0000BA000000}"/>
              </a:ext>
            </a:extLst>
          </xdr:cNvPr>
          <xdr:cNvSpPr/>
        </xdr:nvSpPr>
        <xdr:spPr>
          <a:xfrm>
            <a:off x="3683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87" name="QRANDROID">
            <a:extLst>
              <a:ext uri="{FF2B5EF4-FFF2-40B4-BE49-F238E27FC236}">
                <a16:creationId xmlns:a16="http://schemas.microsoft.com/office/drawing/2014/main" id="{00000000-0008-0000-0400-0000BB000000}"/>
              </a:ext>
            </a:extLst>
          </xdr:cNvPr>
          <xdr:cNvSpPr/>
        </xdr:nvSpPr>
        <xdr:spPr>
          <a:xfrm>
            <a:off x="4318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88" name="QRANDROID">
            <a:extLst>
              <a:ext uri="{FF2B5EF4-FFF2-40B4-BE49-F238E27FC236}">
                <a16:creationId xmlns:a16="http://schemas.microsoft.com/office/drawing/2014/main" id="{00000000-0008-0000-0400-0000BC000000}"/>
              </a:ext>
            </a:extLst>
          </xdr:cNvPr>
          <xdr:cNvSpPr/>
        </xdr:nvSpPr>
        <xdr:spPr>
          <a:xfrm>
            <a:off x="4572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89" name="QRANDROID">
            <a:extLst>
              <a:ext uri="{FF2B5EF4-FFF2-40B4-BE49-F238E27FC236}">
                <a16:creationId xmlns:a16="http://schemas.microsoft.com/office/drawing/2014/main" id="{00000000-0008-0000-0400-0000BD000000}"/>
              </a:ext>
            </a:extLst>
          </xdr:cNvPr>
          <xdr:cNvSpPr/>
        </xdr:nvSpPr>
        <xdr:spPr>
          <a:xfrm>
            <a:off x="12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90" name="QRANDROID">
            <a:extLst>
              <a:ext uri="{FF2B5EF4-FFF2-40B4-BE49-F238E27FC236}">
                <a16:creationId xmlns:a16="http://schemas.microsoft.com/office/drawing/2014/main" id="{00000000-0008-0000-0400-0000BE000000}"/>
              </a:ext>
            </a:extLst>
          </xdr:cNvPr>
          <xdr:cNvSpPr/>
        </xdr:nvSpPr>
        <xdr:spPr>
          <a:xfrm>
            <a:off x="25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91" name="QRANDROID">
            <a:extLst>
              <a:ext uri="{FF2B5EF4-FFF2-40B4-BE49-F238E27FC236}">
                <a16:creationId xmlns:a16="http://schemas.microsoft.com/office/drawing/2014/main" id="{00000000-0008-0000-0400-0000BF000000}"/>
              </a:ext>
            </a:extLst>
          </xdr:cNvPr>
          <xdr:cNvSpPr/>
        </xdr:nvSpPr>
        <xdr:spPr>
          <a:xfrm>
            <a:off x="63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92" name="QRANDROID">
            <a:extLst>
              <a:ext uri="{FF2B5EF4-FFF2-40B4-BE49-F238E27FC236}">
                <a16:creationId xmlns:a16="http://schemas.microsoft.com/office/drawing/2014/main" id="{00000000-0008-0000-0400-0000C0000000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93" name="QRANDROID">
            <a:extLst>
              <a:ext uri="{FF2B5EF4-FFF2-40B4-BE49-F238E27FC236}">
                <a16:creationId xmlns:a16="http://schemas.microsoft.com/office/drawing/2014/main" id="{00000000-0008-0000-0400-0000C1000000}"/>
              </a:ext>
            </a:extLst>
          </xdr:cNvPr>
          <xdr:cNvSpPr/>
        </xdr:nvSpPr>
        <xdr:spPr>
          <a:xfrm>
            <a:off x="1016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94" name="QRANDROID">
            <a:extLst>
              <a:ext uri="{FF2B5EF4-FFF2-40B4-BE49-F238E27FC236}">
                <a16:creationId xmlns:a16="http://schemas.microsoft.com/office/drawing/2014/main" id="{00000000-0008-0000-0400-0000C2000000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95" name="QRANDROID">
            <a:extLst>
              <a:ext uri="{FF2B5EF4-FFF2-40B4-BE49-F238E27FC236}">
                <a16:creationId xmlns:a16="http://schemas.microsoft.com/office/drawing/2014/main" id="{00000000-0008-0000-0400-0000C3000000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96" name="QRANDROID">
            <a:extLst>
              <a:ext uri="{FF2B5EF4-FFF2-40B4-BE49-F238E27FC236}">
                <a16:creationId xmlns:a16="http://schemas.microsoft.com/office/drawing/2014/main" id="{00000000-0008-0000-0400-0000C4000000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97" name="QRANDROID">
            <a:extLst>
              <a:ext uri="{FF2B5EF4-FFF2-40B4-BE49-F238E27FC236}">
                <a16:creationId xmlns:a16="http://schemas.microsoft.com/office/drawing/2014/main" id="{00000000-0008-0000-0400-0000C5000000}"/>
              </a:ext>
            </a:extLst>
          </xdr:cNvPr>
          <xdr:cNvSpPr/>
        </xdr:nvSpPr>
        <xdr:spPr>
          <a:xfrm>
            <a:off x="1651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98" name="QRANDROID">
            <a:extLst>
              <a:ext uri="{FF2B5EF4-FFF2-40B4-BE49-F238E27FC236}">
                <a16:creationId xmlns:a16="http://schemas.microsoft.com/office/drawing/2014/main" id="{00000000-0008-0000-0400-0000C6000000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99" name="QRANDROID">
            <a:extLst>
              <a:ext uri="{FF2B5EF4-FFF2-40B4-BE49-F238E27FC236}">
                <a16:creationId xmlns:a16="http://schemas.microsoft.com/office/drawing/2014/main" id="{00000000-0008-0000-0400-0000C7000000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00" name="QRANDROID">
            <a:extLst>
              <a:ext uri="{FF2B5EF4-FFF2-40B4-BE49-F238E27FC236}">
                <a16:creationId xmlns:a16="http://schemas.microsoft.com/office/drawing/2014/main" id="{00000000-0008-0000-0400-0000C8000000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01" name="QRANDROID">
            <a:extLst>
              <a:ext uri="{FF2B5EF4-FFF2-40B4-BE49-F238E27FC236}">
                <a16:creationId xmlns:a16="http://schemas.microsoft.com/office/drawing/2014/main" id="{00000000-0008-0000-0400-0000C9000000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02" name="QRANDROID">
            <a:extLst>
              <a:ext uri="{FF2B5EF4-FFF2-40B4-BE49-F238E27FC236}">
                <a16:creationId xmlns:a16="http://schemas.microsoft.com/office/drawing/2014/main" id="{00000000-0008-0000-0400-0000CA000000}"/>
              </a:ext>
            </a:extLst>
          </xdr:cNvPr>
          <xdr:cNvSpPr/>
        </xdr:nvSpPr>
        <xdr:spPr>
          <a:xfrm>
            <a:off x="330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03" name="QRANDROID">
            <a:extLst>
              <a:ext uri="{FF2B5EF4-FFF2-40B4-BE49-F238E27FC236}">
                <a16:creationId xmlns:a16="http://schemas.microsoft.com/office/drawing/2014/main" id="{00000000-0008-0000-0400-0000CB000000}"/>
              </a:ext>
            </a:extLst>
          </xdr:cNvPr>
          <xdr:cNvSpPr/>
        </xdr:nvSpPr>
        <xdr:spPr>
          <a:xfrm>
            <a:off x="381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04" name="QRANDROID">
            <a:extLst>
              <a:ext uri="{FF2B5EF4-FFF2-40B4-BE49-F238E27FC236}">
                <a16:creationId xmlns:a16="http://schemas.microsoft.com/office/drawing/2014/main" id="{00000000-0008-0000-0400-0000CC000000}"/>
              </a:ext>
            </a:extLst>
          </xdr:cNvPr>
          <xdr:cNvSpPr/>
        </xdr:nvSpPr>
        <xdr:spPr>
          <a:xfrm>
            <a:off x="4191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05" name="QRANDROID">
            <a:extLst>
              <a:ext uri="{FF2B5EF4-FFF2-40B4-BE49-F238E27FC236}">
                <a16:creationId xmlns:a16="http://schemas.microsoft.com/office/drawing/2014/main" id="{00000000-0008-0000-0400-0000CD000000}"/>
              </a:ext>
            </a:extLst>
          </xdr:cNvPr>
          <xdr:cNvSpPr/>
        </xdr:nvSpPr>
        <xdr:spPr>
          <a:xfrm>
            <a:off x="444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06" name="QRANDROID">
            <a:extLst>
              <a:ext uri="{FF2B5EF4-FFF2-40B4-BE49-F238E27FC236}">
                <a16:creationId xmlns:a16="http://schemas.microsoft.com/office/drawing/2014/main" id="{00000000-0008-0000-0400-0000CE000000}"/>
              </a:ext>
            </a:extLst>
          </xdr:cNvPr>
          <xdr:cNvSpPr/>
        </xdr:nvSpPr>
        <xdr:spPr>
          <a:xfrm>
            <a:off x="457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07" name="QRANDROID">
            <a:extLst>
              <a:ext uri="{FF2B5EF4-FFF2-40B4-BE49-F238E27FC236}">
                <a16:creationId xmlns:a16="http://schemas.microsoft.com/office/drawing/2014/main" id="{00000000-0008-0000-0400-0000CF000000}"/>
              </a:ext>
            </a:extLst>
          </xdr:cNvPr>
          <xdr:cNvSpPr/>
        </xdr:nvSpPr>
        <xdr:spPr>
          <a:xfrm>
            <a:off x="12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08" name="QRANDROID">
            <a:extLst>
              <a:ext uri="{FF2B5EF4-FFF2-40B4-BE49-F238E27FC236}">
                <a16:creationId xmlns:a16="http://schemas.microsoft.com/office/drawing/2014/main" id="{00000000-0008-0000-0400-0000D0000000}"/>
              </a:ext>
            </a:extLst>
          </xdr:cNvPr>
          <xdr:cNvSpPr/>
        </xdr:nvSpPr>
        <xdr:spPr>
          <a:xfrm>
            <a:off x="25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09" name="QRANDROID">
            <a:extLst>
              <a:ext uri="{FF2B5EF4-FFF2-40B4-BE49-F238E27FC236}">
                <a16:creationId xmlns:a16="http://schemas.microsoft.com/office/drawing/2014/main" id="{00000000-0008-0000-0400-0000D1000000}"/>
              </a:ext>
            </a:extLst>
          </xdr:cNvPr>
          <xdr:cNvSpPr/>
        </xdr:nvSpPr>
        <xdr:spPr>
          <a:xfrm>
            <a:off x="63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10" name="QRANDROID">
            <a:extLst>
              <a:ext uri="{FF2B5EF4-FFF2-40B4-BE49-F238E27FC236}">
                <a16:creationId xmlns:a16="http://schemas.microsoft.com/office/drawing/2014/main" id="{00000000-0008-0000-0400-0000D2000000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11" name="QRANDROID">
            <a:extLst>
              <a:ext uri="{FF2B5EF4-FFF2-40B4-BE49-F238E27FC236}">
                <a16:creationId xmlns:a16="http://schemas.microsoft.com/office/drawing/2014/main" id="{00000000-0008-0000-0400-0000D3000000}"/>
              </a:ext>
            </a:extLst>
          </xdr:cNvPr>
          <xdr:cNvSpPr/>
        </xdr:nvSpPr>
        <xdr:spPr>
          <a:xfrm>
            <a:off x="139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12" name="QRANDROID">
            <a:extLst>
              <a:ext uri="{FF2B5EF4-FFF2-40B4-BE49-F238E27FC236}">
                <a16:creationId xmlns:a16="http://schemas.microsoft.com/office/drawing/2014/main" id="{00000000-0008-0000-0400-0000D4000000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13" name="QRANDROID">
            <a:extLst>
              <a:ext uri="{FF2B5EF4-FFF2-40B4-BE49-F238E27FC236}">
                <a16:creationId xmlns:a16="http://schemas.microsoft.com/office/drawing/2014/main" id="{00000000-0008-0000-0400-0000D5000000}"/>
              </a:ext>
            </a:extLst>
          </xdr:cNvPr>
          <xdr:cNvSpPr/>
        </xdr:nvSpPr>
        <xdr:spPr>
          <a:xfrm>
            <a:off x="2159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14" name="QRANDROID">
            <a:extLst>
              <a:ext uri="{FF2B5EF4-FFF2-40B4-BE49-F238E27FC236}">
                <a16:creationId xmlns:a16="http://schemas.microsoft.com/office/drawing/2014/main" id="{00000000-0008-0000-0400-0000D6000000}"/>
              </a:ext>
            </a:extLst>
          </xdr:cNvPr>
          <xdr:cNvSpPr/>
        </xdr:nvSpPr>
        <xdr:spPr>
          <a:xfrm>
            <a:off x="2286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15" name="QRANDROID">
            <a:extLst>
              <a:ext uri="{FF2B5EF4-FFF2-40B4-BE49-F238E27FC236}">
                <a16:creationId xmlns:a16="http://schemas.microsoft.com/office/drawing/2014/main" id="{00000000-0008-0000-0400-0000D7000000}"/>
              </a:ext>
            </a:extLst>
          </xdr:cNvPr>
          <xdr:cNvSpPr/>
        </xdr:nvSpPr>
        <xdr:spPr>
          <a:xfrm>
            <a:off x="2413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16" name="QRANDROID">
            <a:extLst>
              <a:ext uri="{FF2B5EF4-FFF2-40B4-BE49-F238E27FC236}">
                <a16:creationId xmlns:a16="http://schemas.microsoft.com/office/drawing/2014/main" id="{00000000-0008-0000-0400-0000D8000000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17" name="QRANDROID">
            <a:extLst>
              <a:ext uri="{FF2B5EF4-FFF2-40B4-BE49-F238E27FC236}">
                <a16:creationId xmlns:a16="http://schemas.microsoft.com/office/drawing/2014/main" id="{00000000-0008-0000-0400-0000D9000000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18" name="QRANDROID">
            <a:extLst>
              <a:ext uri="{FF2B5EF4-FFF2-40B4-BE49-F238E27FC236}">
                <a16:creationId xmlns:a16="http://schemas.microsoft.com/office/drawing/2014/main" id="{00000000-0008-0000-0400-0000DA000000}"/>
              </a:ext>
            </a:extLst>
          </xdr:cNvPr>
          <xdr:cNvSpPr/>
        </xdr:nvSpPr>
        <xdr:spPr>
          <a:xfrm>
            <a:off x="304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19" name="QRANDROID">
            <a:extLst>
              <a:ext uri="{FF2B5EF4-FFF2-40B4-BE49-F238E27FC236}">
                <a16:creationId xmlns:a16="http://schemas.microsoft.com/office/drawing/2014/main" id="{00000000-0008-0000-0400-0000DB000000}"/>
              </a:ext>
            </a:extLst>
          </xdr:cNvPr>
          <xdr:cNvSpPr/>
        </xdr:nvSpPr>
        <xdr:spPr>
          <a:xfrm>
            <a:off x="317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20" name="QRANDROID">
            <a:extLst>
              <a:ext uri="{FF2B5EF4-FFF2-40B4-BE49-F238E27FC236}">
                <a16:creationId xmlns:a16="http://schemas.microsoft.com/office/drawing/2014/main" id="{00000000-0008-0000-0400-0000DC000000}"/>
              </a:ext>
            </a:extLst>
          </xdr:cNvPr>
          <xdr:cNvSpPr/>
        </xdr:nvSpPr>
        <xdr:spPr>
          <a:xfrm>
            <a:off x="381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21" name="QRANDROID">
            <a:extLst>
              <a:ext uri="{FF2B5EF4-FFF2-40B4-BE49-F238E27FC236}">
                <a16:creationId xmlns:a16="http://schemas.microsoft.com/office/drawing/2014/main" id="{00000000-0008-0000-0400-0000DD000000}"/>
              </a:ext>
            </a:extLst>
          </xdr:cNvPr>
          <xdr:cNvSpPr/>
        </xdr:nvSpPr>
        <xdr:spPr>
          <a:xfrm>
            <a:off x="406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22" name="QRANDROID">
            <a:extLst>
              <a:ext uri="{FF2B5EF4-FFF2-40B4-BE49-F238E27FC236}">
                <a16:creationId xmlns:a16="http://schemas.microsoft.com/office/drawing/2014/main" id="{00000000-0008-0000-0400-0000DE000000}"/>
              </a:ext>
            </a:extLst>
          </xdr:cNvPr>
          <xdr:cNvSpPr/>
        </xdr:nvSpPr>
        <xdr:spPr>
          <a:xfrm>
            <a:off x="444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23" name="QRANDROID">
            <a:extLst>
              <a:ext uri="{FF2B5EF4-FFF2-40B4-BE49-F238E27FC236}">
                <a16:creationId xmlns:a16="http://schemas.microsoft.com/office/drawing/2014/main" id="{00000000-0008-0000-0400-0000DF000000}"/>
              </a:ext>
            </a:extLst>
          </xdr:cNvPr>
          <xdr:cNvSpPr/>
        </xdr:nvSpPr>
        <xdr:spPr>
          <a:xfrm>
            <a:off x="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24" name="QRANDROID">
            <a:extLst>
              <a:ext uri="{FF2B5EF4-FFF2-40B4-BE49-F238E27FC236}">
                <a16:creationId xmlns:a16="http://schemas.microsoft.com/office/drawing/2014/main" id="{00000000-0008-0000-0400-0000E0000000}"/>
              </a:ext>
            </a:extLst>
          </xdr:cNvPr>
          <xdr:cNvSpPr/>
        </xdr:nvSpPr>
        <xdr:spPr>
          <a:xfrm>
            <a:off x="50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25" name="QRANDROID">
            <a:extLst>
              <a:ext uri="{FF2B5EF4-FFF2-40B4-BE49-F238E27FC236}">
                <a16:creationId xmlns:a16="http://schemas.microsoft.com/office/drawing/2014/main" id="{00000000-0008-0000-0400-0000E1000000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26" name="QRANDROID">
            <a:extLst>
              <a:ext uri="{FF2B5EF4-FFF2-40B4-BE49-F238E27FC236}">
                <a16:creationId xmlns:a16="http://schemas.microsoft.com/office/drawing/2014/main" id="{00000000-0008-0000-0400-0000E2000000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27" name="QRANDROID">
            <a:extLst>
              <a:ext uri="{FF2B5EF4-FFF2-40B4-BE49-F238E27FC236}">
                <a16:creationId xmlns:a16="http://schemas.microsoft.com/office/drawing/2014/main" id="{00000000-0008-0000-0400-0000E3000000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28" name="QRANDROID">
            <a:extLst>
              <a:ext uri="{FF2B5EF4-FFF2-40B4-BE49-F238E27FC236}">
                <a16:creationId xmlns:a16="http://schemas.microsoft.com/office/drawing/2014/main" id="{00000000-0008-0000-0400-0000E4000000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29" name="QRANDROID">
            <a:extLst>
              <a:ext uri="{FF2B5EF4-FFF2-40B4-BE49-F238E27FC236}">
                <a16:creationId xmlns:a16="http://schemas.microsoft.com/office/drawing/2014/main" id="{00000000-0008-0000-0400-0000E5000000}"/>
              </a:ext>
            </a:extLst>
          </xdr:cNvPr>
          <xdr:cNvSpPr/>
        </xdr:nvSpPr>
        <xdr:spPr>
          <a:xfrm>
            <a:off x="1397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30" name="QRANDROID">
            <a:extLst>
              <a:ext uri="{FF2B5EF4-FFF2-40B4-BE49-F238E27FC236}">
                <a16:creationId xmlns:a16="http://schemas.microsoft.com/office/drawing/2014/main" id="{00000000-0008-0000-0400-0000E6000000}"/>
              </a:ext>
            </a:extLst>
          </xdr:cNvPr>
          <xdr:cNvSpPr/>
        </xdr:nvSpPr>
        <xdr:spPr>
          <a:xfrm>
            <a:off x="152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31" name="QRANDROID">
            <a:extLst>
              <a:ext uri="{FF2B5EF4-FFF2-40B4-BE49-F238E27FC236}">
                <a16:creationId xmlns:a16="http://schemas.microsoft.com/office/drawing/2014/main" id="{00000000-0008-0000-0400-0000E7000000}"/>
              </a:ext>
            </a:extLst>
          </xdr:cNvPr>
          <xdr:cNvSpPr/>
        </xdr:nvSpPr>
        <xdr:spPr>
          <a:xfrm>
            <a:off x="165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32" name="QRANDROID">
            <a:extLst>
              <a:ext uri="{FF2B5EF4-FFF2-40B4-BE49-F238E27FC236}">
                <a16:creationId xmlns:a16="http://schemas.microsoft.com/office/drawing/2014/main" id="{00000000-0008-0000-0400-0000E8000000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33" name="QRANDROID">
            <a:extLst>
              <a:ext uri="{FF2B5EF4-FFF2-40B4-BE49-F238E27FC236}">
                <a16:creationId xmlns:a16="http://schemas.microsoft.com/office/drawing/2014/main" id="{00000000-0008-0000-0400-0000E9000000}"/>
              </a:ext>
            </a:extLst>
          </xdr:cNvPr>
          <xdr:cNvSpPr/>
        </xdr:nvSpPr>
        <xdr:spPr>
          <a:xfrm>
            <a:off x="203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34" name="QRANDROID">
            <a:extLst>
              <a:ext uri="{FF2B5EF4-FFF2-40B4-BE49-F238E27FC236}">
                <a16:creationId xmlns:a16="http://schemas.microsoft.com/office/drawing/2014/main" id="{00000000-0008-0000-0400-0000EA000000}"/>
              </a:ext>
            </a:extLst>
          </xdr:cNvPr>
          <xdr:cNvSpPr/>
        </xdr:nvSpPr>
        <xdr:spPr>
          <a:xfrm>
            <a:off x="215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35" name="QRANDROID">
            <a:extLst>
              <a:ext uri="{FF2B5EF4-FFF2-40B4-BE49-F238E27FC236}">
                <a16:creationId xmlns:a16="http://schemas.microsoft.com/office/drawing/2014/main" id="{00000000-0008-0000-0400-0000EB000000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36" name="QRANDROID">
            <a:extLst>
              <a:ext uri="{FF2B5EF4-FFF2-40B4-BE49-F238E27FC236}">
                <a16:creationId xmlns:a16="http://schemas.microsoft.com/office/drawing/2014/main" id="{00000000-0008-0000-0400-0000EC000000}"/>
              </a:ext>
            </a:extLst>
          </xdr:cNvPr>
          <xdr:cNvSpPr/>
        </xdr:nvSpPr>
        <xdr:spPr>
          <a:xfrm>
            <a:off x="2667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37" name="QRANDROID">
            <a:extLst>
              <a:ext uri="{FF2B5EF4-FFF2-40B4-BE49-F238E27FC236}">
                <a16:creationId xmlns:a16="http://schemas.microsoft.com/office/drawing/2014/main" id="{00000000-0008-0000-0400-0000ED000000}"/>
              </a:ext>
            </a:extLst>
          </xdr:cNvPr>
          <xdr:cNvSpPr/>
        </xdr:nvSpPr>
        <xdr:spPr>
          <a:xfrm>
            <a:off x="292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38" name="QRANDROID">
            <a:extLst>
              <a:ext uri="{FF2B5EF4-FFF2-40B4-BE49-F238E27FC236}">
                <a16:creationId xmlns:a16="http://schemas.microsoft.com/office/drawing/2014/main" id="{00000000-0008-0000-0400-0000EE000000}"/>
              </a:ext>
            </a:extLst>
          </xdr:cNvPr>
          <xdr:cNvSpPr/>
        </xdr:nvSpPr>
        <xdr:spPr>
          <a:xfrm>
            <a:off x="304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39" name="QRANDROID">
            <a:extLst>
              <a:ext uri="{FF2B5EF4-FFF2-40B4-BE49-F238E27FC236}">
                <a16:creationId xmlns:a16="http://schemas.microsoft.com/office/drawing/2014/main" id="{00000000-0008-0000-0400-0000EF000000}"/>
              </a:ext>
            </a:extLst>
          </xdr:cNvPr>
          <xdr:cNvSpPr/>
        </xdr:nvSpPr>
        <xdr:spPr>
          <a:xfrm>
            <a:off x="317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40" name="QRANDROID">
            <a:extLst>
              <a:ext uri="{FF2B5EF4-FFF2-40B4-BE49-F238E27FC236}">
                <a16:creationId xmlns:a16="http://schemas.microsoft.com/office/drawing/2014/main" id="{00000000-0008-0000-0400-0000F0000000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41" name="QRANDROID">
            <a:extLst>
              <a:ext uri="{FF2B5EF4-FFF2-40B4-BE49-F238E27FC236}">
                <a16:creationId xmlns:a16="http://schemas.microsoft.com/office/drawing/2014/main" id="{00000000-0008-0000-0400-0000F1000000}"/>
              </a:ext>
            </a:extLst>
          </xdr:cNvPr>
          <xdr:cNvSpPr/>
        </xdr:nvSpPr>
        <xdr:spPr>
          <a:xfrm>
            <a:off x="368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42" name="QRANDROID">
            <a:extLst>
              <a:ext uri="{FF2B5EF4-FFF2-40B4-BE49-F238E27FC236}">
                <a16:creationId xmlns:a16="http://schemas.microsoft.com/office/drawing/2014/main" id="{00000000-0008-0000-0400-0000F2000000}"/>
              </a:ext>
            </a:extLst>
          </xdr:cNvPr>
          <xdr:cNvSpPr/>
        </xdr:nvSpPr>
        <xdr:spPr>
          <a:xfrm>
            <a:off x="3810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43" name="QRANDROID">
            <a:extLst>
              <a:ext uri="{FF2B5EF4-FFF2-40B4-BE49-F238E27FC236}">
                <a16:creationId xmlns:a16="http://schemas.microsoft.com/office/drawing/2014/main" id="{00000000-0008-0000-0400-0000F3000000}"/>
              </a:ext>
            </a:extLst>
          </xdr:cNvPr>
          <xdr:cNvSpPr/>
        </xdr:nvSpPr>
        <xdr:spPr>
          <a:xfrm>
            <a:off x="3937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44" name="QRANDROID">
            <a:extLst>
              <a:ext uri="{FF2B5EF4-FFF2-40B4-BE49-F238E27FC236}">
                <a16:creationId xmlns:a16="http://schemas.microsoft.com/office/drawing/2014/main" id="{00000000-0008-0000-0400-0000F4000000}"/>
              </a:ext>
            </a:extLst>
          </xdr:cNvPr>
          <xdr:cNvSpPr/>
        </xdr:nvSpPr>
        <xdr:spPr>
          <a:xfrm>
            <a:off x="419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45" name="QRANDROID">
            <a:extLst>
              <a:ext uri="{FF2B5EF4-FFF2-40B4-BE49-F238E27FC236}">
                <a16:creationId xmlns:a16="http://schemas.microsoft.com/office/drawing/2014/main" id="{00000000-0008-0000-0400-0000F5000000}"/>
              </a:ext>
            </a:extLst>
          </xdr:cNvPr>
          <xdr:cNvSpPr/>
        </xdr:nvSpPr>
        <xdr:spPr>
          <a:xfrm>
            <a:off x="431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46" name="QRANDROID">
            <a:extLst>
              <a:ext uri="{FF2B5EF4-FFF2-40B4-BE49-F238E27FC236}">
                <a16:creationId xmlns:a16="http://schemas.microsoft.com/office/drawing/2014/main" id="{00000000-0008-0000-0400-0000F6000000}"/>
              </a:ext>
            </a:extLst>
          </xdr:cNvPr>
          <xdr:cNvSpPr/>
        </xdr:nvSpPr>
        <xdr:spPr>
          <a:xfrm>
            <a:off x="444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47" name="QRANDROID">
            <a:extLst>
              <a:ext uri="{FF2B5EF4-FFF2-40B4-BE49-F238E27FC236}">
                <a16:creationId xmlns:a16="http://schemas.microsoft.com/office/drawing/2014/main" id="{00000000-0008-0000-0400-0000F7000000}"/>
              </a:ext>
            </a:extLst>
          </xdr:cNvPr>
          <xdr:cNvSpPr/>
        </xdr:nvSpPr>
        <xdr:spPr>
          <a:xfrm>
            <a:off x="457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48" name="QRANDROID">
            <a:extLst>
              <a:ext uri="{FF2B5EF4-FFF2-40B4-BE49-F238E27FC236}">
                <a16:creationId xmlns:a16="http://schemas.microsoft.com/office/drawing/2014/main" id="{00000000-0008-0000-0400-0000F8000000}"/>
              </a:ext>
            </a:extLst>
          </xdr:cNvPr>
          <xdr:cNvSpPr/>
        </xdr:nvSpPr>
        <xdr:spPr>
          <a:xfrm>
            <a:off x="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49" name="QRANDROID">
            <a:extLst>
              <a:ext uri="{FF2B5EF4-FFF2-40B4-BE49-F238E27FC236}">
                <a16:creationId xmlns:a16="http://schemas.microsoft.com/office/drawing/2014/main" id="{00000000-0008-0000-0400-0000F9000000}"/>
              </a:ext>
            </a:extLst>
          </xdr:cNvPr>
          <xdr:cNvSpPr/>
        </xdr:nvSpPr>
        <xdr:spPr>
          <a:xfrm>
            <a:off x="635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50" name="QRANDROID">
            <a:extLst>
              <a:ext uri="{FF2B5EF4-FFF2-40B4-BE49-F238E27FC236}">
                <a16:creationId xmlns:a16="http://schemas.microsoft.com/office/drawing/2014/main" id="{00000000-0008-0000-0400-0000FA000000}"/>
              </a:ext>
            </a:extLst>
          </xdr:cNvPr>
          <xdr:cNvSpPr/>
        </xdr:nvSpPr>
        <xdr:spPr>
          <a:xfrm>
            <a:off x="889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51" name="QRANDROID">
            <a:extLst>
              <a:ext uri="{FF2B5EF4-FFF2-40B4-BE49-F238E27FC236}">
                <a16:creationId xmlns:a16="http://schemas.microsoft.com/office/drawing/2014/main" id="{00000000-0008-0000-0400-0000FB000000}"/>
              </a:ext>
            </a:extLst>
          </xdr:cNvPr>
          <xdr:cNvSpPr/>
        </xdr:nvSpPr>
        <xdr:spPr>
          <a:xfrm>
            <a:off x="1143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52" name="QRANDROID">
            <a:extLst>
              <a:ext uri="{FF2B5EF4-FFF2-40B4-BE49-F238E27FC236}">
                <a16:creationId xmlns:a16="http://schemas.microsoft.com/office/drawing/2014/main" id="{00000000-0008-0000-0400-0000FC000000}"/>
              </a:ext>
            </a:extLst>
          </xdr:cNvPr>
          <xdr:cNvSpPr/>
        </xdr:nvSpPr>
        <xdr:spPr>
          <a:xfrm>
            <a:off x="1397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53" name="QRANDROID">
            <a:extLst>
              <a:ext uri="{FF2B5EF4-FFF2-40B4-BE49-F238E27FC236}">
                <a16:creationId xmlns:a16="http://schemas.microsoft.com/office/drawing/2014/main" id="{00000000-0008-0000-0400-0000FD000000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54" name="QRANDROID">
            <a:extLst>
              <a:ext uri="{FF2B5EF4-FFF2-40B4-BE49-F238E27FC236}">
                <a16:creationId xmlns:a16="http://schemas.microsoft.com/office/drawing/2014/main" id="{00000000-0008-0000-0400-0000FE000000}"/>
              </a:ext>
            </a:extLst>
          </xdr:cNvPr>
          <xdr:cNvSpPr/>
        </xdr:nvSpPr>
        <xdr:spPr>
          <a:xfrm>
            <a:off x="2540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55" name="QRANDROID">
            <a:extLst>
              <a:ext uri="{FF2B5EF4-FFF2-40B4-BE49-F238E27FC236}">
                <a16:creationId xmlns:a16="http://schemas.microsoft.com/office/drawing/2014/main" id="{00000000-0008-0000-0400-0000FF000000}"/>
              </a:ext>
            </a:extLst>
          </xdr:cNvPr>
          <xdr:cNvSpPr/>
        </xdr:nvSpPr>
        <xdr:spPr>
          <a:xfrm>
            <a:off x="2667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56" name="QRANDROID">
            <a:extLst>
              <a:ext uri="{FF2B5EF4-FFF2-40B4-BE49-F238E27FC236}">
                <a16:creationId xmlns:a16="http://schemas.microsoft.com/office/drawing/2014/main" id="{00000000-0008-0000-0400-000000010000}"/>
              </a:ext>
            </a:extLst>
          </xdr:cNvPr>
          <xdr:cNvSpPr/>
        </xdr:nvSpPr>
        <xdr:spPr>
          <a:xfrm>
            <a:off x="3048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57" name="QRANDROID">
            <a:extLst>
              <a:ext uri="{FF2B5EF4-FFF2-40B4-BE49-F238E27FC236}">
                <a16:creationId xmlns:a16="http://schemas.microsoft.com/office/drawing/2014/main" id="{00000000-0008-0000-0400-000001010000}"/>
              </a:ext>
            </a:extLst>
          </xdr:cNvPr>
          <xdr:cNvSpPr/>
        </xdr:nvSpPr>
        <xdr:spPr>
          <a:xfrm>
            <a:off x="3302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58" name="QRANDROID">
            <a:extLst>
              <a:ext uri="{FF2B5EF4-FFF2-40B4-BE49-F238E27FC236}">
                <a16:creationId xmlns:a16="http://schemas.microsoft.com/office/drawing/2014/main" id="{00000000-0008-0000-0400-000002010000}"/>
              </a:ext>
            </a:extLst>
          </xdr:cNvPr>
          <xdr:cNvSpPr/>
        </xdr:nvSpPr>
        <xdr:spPr>
          <a:xfrm>
            <a:off x="3556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59" name="QRANDROID">
            <a:extLst>
              <a:ext uri="{FF2B5EF4-FFF2-40B4-BE49-F238E27FC236}">
                <a16:creationId xmlns:a16="http://schemas.microsoft.com/office/drawing/2014/main" id="{00000000-0008-0000-0400-000003010000}"/>
              </a:ext>
            </a:extLst>
          </xdr:cNvPr>
          <xdr:cNvSpPr/>
        </xdr:nvSpPr>
        <xdr:spPr>
          <a:xfrm>
            <a:off x="3810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60" name="QRANDROID">
            <a:extLst>
              <a:ext uri="{FF2B5EF4-FFF2-40B4-BE49-F238E27FC236}">
                <a16:creationId xmlns:a16="http://schemas.microsoft.com/office/drawing/2014/main" id="{00000000-0008-0000-0400-000004010000}"/>
              </a:ext>
            </a:extLst>
          </xdr:cNvPr>
          <xdr:cNvSpPr/>
        </xdr:nvSpPr>
        <xdr:spPr>
          <a:xfrm>
            <a:off x="4445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61" name="QRANDROID">
            <a:extLst>
              <a:ext uri="{FF2B5EF4-FFF2-40B4-BE49-F238E27FC236}">
                <a16:creationId xmlns:a16="http://schemas.microsoft.com/office/drawing/2014/main" id="{00000000-0008-0000-0400-000005010000}"/>
              </a:ext>
            </a:extLst>
          </xdr:cNvPr>
          <xdr:cNvSpPr/>
        </xdr:nvSpPr>
        <xdr:spPr>
          <a:xfrm>
            <a:off x="4572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62" name="QRANDROID">
            <a:extLst>
              <a:ext uri="{FF2B5EF4-FFF2-40B4-BE49-F238E27FC236}">
                <a16:creationId xmlns:a16="http://schemas.microsoft.com/office/drawing/2014/main" id="{00000000-0008-0000-0400-000006010000}"/>
              </a:ext>
            </a:extLst>
          </xdr:cNvPr>
          <xdr:cNvSpPr/>
        </xdr:nvSpPr>
        <xdr:spPr>
          <a:xfrm>
            <a:off x="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63" name="QRANDROID">
            <a:extLst>
              <a:ext uri="{FF2B5EF4-FFF2-40B4-BE49-F238E27FC236}">
                <a16:creationId xmlns:a16="http://schemas.microsoft.com/office/drawing/2014/main" id="{00000000-0008-0000-0400-000007010000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64" name="QRANDROID">
            <a:extLst>
              <a:ext uri="{FF2B5EF4-FFF2-40B4-BE49-F238E27FC236}">
                <a16:creationId xmlns:a16="http://schemas.microsoft.com/office/drawing/2014/main" id="{00000000-0008-0000-0400-000008010000}"/>
              </a:ext>
            </a:extLst>
          </xdr:cNvPr>
          <xdr:cNvSpPr/>
        </xdr:nvSpPr>
        <xdr:spPr>
          <a:xfrm>
            <a:off x="381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65" name="QRANDROID">
            <a:extLst>
              <a:ext uri="{FF2B5EF4-FFF2-40B4-BE49-F238E27FC236}">
                <a16:creationId xmlns:a16="http://schemas.microsoft.com/office/drawing/2014/main" id="{00000000-0008-0000-0400-000009010000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66" name="QRANDROID">
            <a:extLst>
              <a:ext uri="{FF2B5EF4-FFF2-40B4-BE49-F238E27FC236}">
                <a16:creationId xmlns:a16="http://schemas.microsoft.com/office/drawing/2014/main" id="{00000000-0008-0000-0400-00000A010000}"/>
              </a:ext>
            </a:extLst>
          </xdr:cNvPr>
          <xdr:cNvSpPr/>
        </xdr:nvSpPr>
        <xdr:spPr>
          <a:xfrm>
            <a:off x="889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67" name="QRANDROID">
            <a:extLst>
              <a:ext uri="{FF2B5EF4-FFF2-40B4-BE49-F238E27FC236}">
                <a16:creationId xmlns:a16="http://schemas.microsoft.com/office/drawing/2014/main" id="{00000000-0008-0000-0400-00000B010000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68" name="QRANDROID">
            <a:extLst>
              <a:ext uri="{FF2B5EF4-FFF2-40B4-BE49-F238E27FC236}">
                <a16:creationId xmlns:a16="http://schemas.microsoft.com/office/drawing/2014/main" id="{00000000-0008-0000-0400-00000C010000}"/>
              </a:ext>
            </a:extLst>
          </xdr:cNvPr>
          <xdr:cNvSpPr/>
        </xdr:nvSpPr>
        <xdr:spPr>
          <a:xfrm>
            <a:off x="1143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69" name="QRANDROID">
            <a:extLst>
              <a:ext uri="{FF2B5EF4-FFF2-40B4-BE49-F238E27FC236}">
                <a16:creationId xmlns:a16="http://schemas.microsoft.com/office/drawing/2014/main" id="{00000000-0008-0000-0400-00000D010000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70" name="QRANDROID">
            <a:extLst>
              <a:ext uri="{FF2B5EF4-FFF2-40B4-BE49-F238E27FC236}">
                <a16:creationId xmlns:a16="http://schemas.microsoft.com/office/drawing/2014/main" id="{00000000-0008-0000-0400-00000E010000}"/>
              </a:ext>
            </a:extLst>
          </xdr:cNvPr>
          <xdr:cNvSpPr/>
        </xdr:nvSpPr>
        <xdr:spPr>
          <a:xfrm>
            <a:off x="3048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71" name="QRANDROID">
            <a:extLst>
              <a:ext uri="{FF2B5EF4-FFF2-40B4-BE49-F238E27FC236}">
                <a16:creationId xmlns:a16="http://schemas.microsoft.com/office/drawing/2014/main" id="{00000000-0008-0000-0400-00000F010000}"/>
              </a:ext>
            </a:extLst>
          </xdr:cNvPr>
          <xdr:cNvSpPr/>
        </xdr:nvSpPr>
        <xdr:spPr>
          <a:xfrm>
            <a:off x="317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72" name="QRANDROID">
            <a:extLst>
              <a:ext uri="{FF2B5EF4-FFF2-40B4-BE49-F238E27FC236}">
                <a16:creationId xmlns:a16="http://schemas.microsoft.com/office/drawing/2014/main" id="{00000000-0008-0000-0400-000010010000}"/>
              </a:ext>
            </a:extLst>
          </xdr:cNvPr>
          <xdr:cNvSpPr/>
        </xdr:nvSpPr>
        <xdr:spPr>
          <a:xfrm>
            <a:off x="355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73" name="QRANDROID">
            <a:extLst>
              <a:ext uri="{FF2B5EF4-FFF2-40B4-BE49-F238E27FC236}">
                <a16:creationId xmlns:a16="http://schemas.microsoft.com/office/drawing/2014/main" id="{00000000-0008-0000-0400-000011010000}"/>
              </a:ext>
            </a:extLst>
          </xdr:cNvPr>
          <xdr:cNvSpPr/>
        </xdr:nvSpPr>
        <xdr:spPr>
          <a:xfrm>
            <a:off x="3683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74" name="QRANDROID">
            <a:extLst>
              <a:ext uri="{FF2B5EF4-FFF2-40B4-BE49-F238E27FC236}">
                <a16:creationId xmlns:a16="http://schemas.microsoft.com/office/drawing/2014/main" id="{00000000-0008-0000-0400-000012010000}"/>
              </a:ext>
            </a:extLst>
          </xdr:cNvPr>
          <xdr:cNvSpPr/>
        </xdr:nvSpPr>
        <xdr:spPr>
          <a:xfrm>
            <a:off x="3810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75" name="QRANDROID">
            <a:extLst>
              <a:ext uri="{FF2B5EF4-FFF2-40B4-BE49-F238E27FC236}">
                <a16:creationId xmlns:a16="http://schemas.microsoft.com/office/drawing/2014/main" id="{00000000-0008-0000-0400-000013010000}"/>
              </a:ext>
            </a:extLst>
          </xdr:cNvPr>
          <xdr:cNvSpPr/>
        </xdr:nvSpPr>
        <xdr:spPr>
          <a:xfrm>
            <a:off x="393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76" name="QRANDROID">
            <a:extLst>
              <a:ext uri="{FF2B5EF4-FFF2-40B4-BE49-F238E27FC236}">
                <a16:creationId xmlns:a16="http://schemas.microsoft.com/office/drawing/2014/main" id="{00000000-0008-0000-0400-000014010000}"/>
              </a:ext>
            </a:extLst>
          </xdr:cNvPr>
          <xdr:cNvSpPr/>
        </xdr:nvSpPr>
        <xdr:spPr>
          <a:xfrm>
            <a:off x="4318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77" name="QRANDROID">
            <a:extLst>
              <a:ext uri="{FF2B5EF4-FFF2-40B4-BE49-F238E27FC236}">
                <a16:creationId xmlns:a16="http://schemas.microsoft.com/office/drawing/2014/main" id="{00000000-0008-0000-0400-000015010000}"/>
              </a:ext>
            </a:extLst>
          </xdr:cNvPr>
          <xdr:cNvSpPr/>
        </xdr:nvSpPr>
        <xdr:spPr>
          <a:xfrm>
            <a:off x="457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78" name="QRANDROID">
            <a:extLst>
              <a:ext uri="{FF2B5EF4-FFF2-40B4-BE49-F238E27FC236}">
                <a16:creationId xmlns:a16="http://schemas.microsoft.com/office/drawing/2014/main" id="{00000000-0008-0000-0400-000016010000}"/>
              </a:ext>
            </a:extLst>
          </xdr:cNvPr>
          <xdr:cNvSpPr/>
        </xdr:nvSpPr>
        <xdr:spPr>
          <a:xfrm>
            <a:off x="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79" name="QRANDROID">
            <a:extLst>
              <a:ext uri="{FF2B5EF4-FFF2-40B4-BE49-F238E27FC236}">
                <a16:creationId xmlns:a16="http://schemas.microsoft.com/office/drawing/2014/main" id="{00000000-0008-0000-0400-000017010000}"/>
              </a:ext>
            </a:extLst>
          </xdr:cNvPr>
          <xdr:cNvSpPr/>
        </xdr:nvSpPr>
        <xdr:spPr>
          <a:xfrm>
            <a:off x="12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80" name="QRANDROID">
            <a:extLst>
              <a:ext uri="{FF2B5EF4-FFF2-40B4-BE49-F238E27FC236}">
                <a16:creationId xmlns:a16="http://schemas.microsoft.com/office/drawing/2014/main" id="{00000000-0008-0000-0400-000018010000}"/>
              </a:ext>
            </a:extLst>
          </xdr:cNvPr>
          <xdr:cNvSpPr/>
        </xdr:nvSpPr>
        <xdr:spPr>
          <a:xfrm>
            <a:off x="254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81" name="QRANDROID">
            <a:extLst>
              <a:ext uri="{FF2B5EF4-FFF2-40B4-BE49-F238E27FC236}">
                <a16:creationId xmlns:a16="http://schemas.microsoft.com/office/drawing/2014/main" id="{00000000-0008-0000-0400-000019010000}"/>
              </a:ext>
            </a:extLst>
          </xdr:cNvPr>
          <xdr:cNvSpPr/>
        </xdr:nvSpPr>
        <xdr:spPr>
          <a:xfrm>
            <a:off x="381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82" name="QRANDROID">
            <a:extLst>
              <a:ext uri="{FF2B5EF4-FFF2-40B4-BE49-F238E27FC236}">
                <a16:creationId xmlns:a16="http://schemas.microsoft.com/office/drawing/2014/main" id="{00000000-0008-0000-0400-00001A010000}"/>
              </a:ext>
            </a:extLst>
          </xdr:cNvPr>
          <xdr:cNvSpPr/>
        </xdr:nvSpPr>
        <xdr:spPr>
          <a:xfrm>
            <a:off x="50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83" name="QRANDROID">
            <a:extLst>
              <a:ext uri="{FF2B5EF4-FFF2-40B4-BE49-F238E27FC236}">
                <a16:creationId xmlns:a16="http://schemas.microsoft.com/office/drawing/2014/main" id="{00000000-0008-0000-0400-00001B010000}"/>
              </a:ext>
            </a:extLst>
          </xdr:cNvPr>
          <xdr:cNvSpPr/>
        </xdr:nvSpPr>
        <xdr:spPr>
          <a:xfrm>
            <a:off x="63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84" name="QRANDROID">
            <a:extLst>
              <a:ext uri="{FF2B5EF4-FFF2-40B4-BE49-F238E27FC236}">
                <a16:creationId xmlns:a16="http://schemas.microsoft.com/office/drawing/2014/main" id="{00000000-0008-0000-0400-00001C010000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85" name="QRANDROID">
            <a:extLst>
              <a:ext uri="{FF2B5EF4-FFF2-40B4-BE49-F238E27FC236}">
                <a16:creationId xmlns:a16="http://schemas.microsoft.com/office/drawing/2014/main" id="{00000000-0008-0000-0400-00001D010000}"/>
              </a:ext>
            </a:extLst>
          </xdr:cNvPr>
          <xdr:cNvSpPr/>
        </xdr:nvSpPr>
        <xdr:spPr>
          <a:xfrm>
            <a:off x="1270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86" name="QRANDROID">
            <a:extLst>
              <a:ext uri="{FF2B5EF4-FFF2-40B4-BE49-F238E27FC236}">
                <a16:creationId xmlns:a16="http://schemas.microsoft.com/office/drawing/2014/main" id="{00000000-0008-0000-0400-00001E010000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87" name="QRANDROID">
            <a:extLst>
              <a:ext uri="{FF2B5EF4-FFF2-40B4-BE49-F238E27FC236}">
                <a16:creationId xmlns:a16="http://schemas.microsoft.com/office/drawing/2014/main" id="{00000000-0008-0000-0400-00001F010000}"/>
              </a:ext>
            </a:extLst>
          </xdr:cNvPr>
          <xdr:cNvSpPr/>
        </xdr:nvSpPr>
        <xdr:spPr>
          <a:xfrm>
            <a:off x="177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88" name="QRANDROID">
            <a:extLst>
              <a:ext uri="{FF2B5EF4-FFF2-40B4-BE49-F238E27FC236}">
                <a16:creationId xmlns:a16="http://schemas.microsoft.com/office/drawing/2014/main" id="{00000000-0008-0000-0400-000020010000}"/>
              </a:ext>
            </a:extLst>
          </xdr:cNvPr>
          <xdr:cNvSpPr/>
        </xdr:nvSpPr>
        <xdr:spPr>
          <a:xfrm>
            <a:off x="2159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89" name="QRANDROID">
            <a:extLst>
              <a:ext uri="{FF2B5EF4-FFF2-40B4-BE49-F238E27FC236}">
                <a16:creationId xmlns:a16="http://schemas.microsoft.com/office/drawing/2014/main" id="{00000000-0008-0000-0400-000021010000}"/>
              </a:ext>
            </a:extLst>
          </xdr:cNvPr>
          <xdr:cNvSpPr/>
        </xdr:nvSpPr>
        <xdr:spPr>
          <a:xfrm>
            <a:off x="2286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90" name="QRANDROID">
            <a:extLst>
              <a:ext uri="{FF2B5EF4-FFF2-40B4-BE49-F238E27FC236}">
                <a16:creationId xmlns:a16="http://schemas.microsoft.com/office/drawing/2014/main" id="{00000000-0008-0000-0400-000022010000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91" name="QRANDROID">
            <a:extLst>
              <a:ext uri="{FF2B5EF4-FFF2-40B4-BE49-F238E27FC236}">
                <a16:creationId xmlns:a16="http://schemas.microsoft.com/office/drawing/2014/main" id="{00000000-0008-0000-0400-000023010000}"/>
              </a:ext>
            </a:extLst>
          </xdr:cNvPr>
          <xdr:cNvSpPr/>
        </xdr:nvSpPr>
        <xdr:spPr>
          <a:xfrm>
            <a:off x="2794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92" name="QRANDROID">
            <a:extLst>
              <a:ext uri="{FF2B5EF4-FFF2-40B4-BE49-F238E27FC236}">
                <a16:creationId xmlns:a16="http://schemas.microsoft.com/office/drawing/2014/main" id="{00000000-0008-0000-0400-000024010000}"/>
              </a:ext>
            </a:extLst>
          </xdr:cNvPr>
          <xdr:cNvSpPr/>
        </xdr:nvSpPr>
        <xdr:spPr>
          <a:xfrm>
            <a:off x="317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93" name="QRANDROID">
            <a:extLst>
              <a:ext uri="{FF2B5EF4-FFF2-40B4-BE49-F238E27FC236}">
                <a16:creationId xmlns:a16="http://schemas.microsoft.com/office/drawing/2014/main" id="{00000000-0008-0000-0400-000025010000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94" name="QRANDROID">
            <a:extLst>
              <a:ext uri="{FF2B5EF4-FFF2-40B4-BE49-F238E27FC236}">
                <a16:creationId xmlns:a16="http://schemas.microsoft.com/office/drawing/2014/main" id="{00000000-0008-0000-0400-000026010000}"/>
              </a:ext>
            </a:extLst>
          </xdr:cNvPr>
          <xdr:cNvSpPr/>
        </xdr:nvSpPr>
        <xdr:spPr>
          <a:xfrm>
            <a:off x="3556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95" name="QRANDROID">
            <a:extLst>
              <a:ext uri="{FF2B5EF4-FFF2-40B4-BE49-F238E27FC236}">
                <a16:creationId xmlns:a16="http://schemas.microsoft.com/office/drawing/2014/main" id="{00000000-0008-0000-0400-000027010000}"/>
              </a:ext>
            </a:extLst>
          </xdr:cNvPr>
          <xdr:cNvSpPr/>
        </xdr:nvSpPr>
        <xdr:spPr>
          <a:xfrm>
            <a:off x="3683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96" name="QRANDROID">
            <a:extLst>
              <a:ext uri="{FF2B5EF4-FFF2-40B4-BE49-F238E27FC236}">
                <a16:creationId xmlns:a16="http://schemas.microsoft.com/office/drawing/2014/main" id="{00000000-0008-0000-0400-000028010000}"/>
              </a:ext>
            </a:extLst>
          </xdr:cNvPr>
          <xdr:cNvSpPr/>
        </xdr:nvSpPr>
        <xdr:spPr>
          <a:xfrm>
            <a:off x="4064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97" name="QRANDROID">
            <a:extLst>
              <a:ext uri="{FF2B5EF4-FFF2-40B4-BE49-F238E27FC236}">
                <a16:creationId xmlns:a16="http://schemas.microsoft.com/office/drawing/2014/main" id="{00000000-0008-0000-0400-000029010000}"/>
              </a:ext>
            </a:extLst>
          </xdr:cNvPr>
          <xdr:cNvSpPr/>
        </xdr:nvSpPr>
        <xdr:spPr>
          <a:xfrm>
            <a:off x="444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98" name="QRANDROID">
            <a:extLst>
              <a:ext uri="{FF2B5EF4-FFF2-40B4-BE49-F238E27FC236}">
                <a16:creationId xmlns:a16="http://schemas.microsoft.com/office/drawing/2014/main" id="{00000000-0008-0000-0400-00002A010000}"/>
              </a:ext>
            </a:extLst>
          </xdr:cNvPr>
          <xdr:cNvSpPr/>
        </xdr:nvSpPr>
        <xdr:spPr>
          <a:xfrm>
            <a:off x="4572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99" name="QRANDROID">
            <a:extLst>
              <a:ext uri="{FF2B5EF4-FFF2-40B4-BE49-F238E27FC236}">
                <a16:creationId xmlns:a16="http://schemas.microsoft.com/office/drawing/2014/main" id="{00000000-0008-0000-0400-00002B010000}"/>
              </a:ext>
            </a:extLst>
          </xdr:cNvPr>
          <xdr:cNvSpPr/>
        </xdr:nvSpPr>
        <xdr:spPr>
          <a:xfrm>
            <a:off x="127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00" name="QRANDROID">
            <a:extLst>
              <a:ext uri="{FF2B5EF4-FFF2-40B4-BE49-F238E27FC236}">
                <a16:creationId xmlns:a16="http://schemas.microsoft.com/office/drawing/2014/main" id="{00000000-0008-0000-0400-00002C010000}"/>
              </a:ext>
            </a:extLst>
          </xdr:cNvPr>
          <xdr:cNvSpPr/>
        </xdr:nvSpPr>
        <xdr:spPr>
          <a:xfrm>
            <a:off x="25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01" name="QRANDROID">
            <a:extLst>
              <a:ext uri="{FF2B5EF4-FFF2-40B4-BE49-F238E27FC236}">
                <a16:creationId xmlns:a16="http://schemas.microsoft.com/office/drawing/2014/main" id="{00000000-0008-0000-0400-00002D010000}"/>
              </a:ext>
            </a:extLst>
          </xdr:cNvPr>
          <xdr:cNvSpPr/>
        </xdr:nvSpPr>
        <xdr:spPr>
          <a:xfrm>
            <a:off x="63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02" name="QRANDROID">
            <a:extLst>
              <a:ext uri="{FF2B5EF4-FFF2-40B4-BE49-F238E27FC236}">
                <a16:creationId xmlns:a16="http://schemas.microsoft.com/office/drawing/2014/main" id="{00000000-0008-0000-0400-00002E010000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03" name="QRANDROID">
            <a:extLst>
              <a:ext uri="{FF2B5EF4-FFF2-40B4-BE49-F238E27FC236}">
                <a16:creationId xmlns:a16="http://schemas.microsoft.com/office/drawing/2014/main" id="{00000000-0008-0000-0400-00002F010000}"/>
              </a:ext>
            </a:extLst>
          </xdr:cNvPr>
          <xdr:cNvSpPr/>
        </xdr:nvSpPr>
        <xdr:spPr>
          <a:xfrm>
            <a:off x="88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04" name="QRANDROID">
            <a:extLst>
              <a:ext uri="{FF2B5EF4-FFF2-40B4-BE49-F238E27FC236}">
                <a16:creationId xmlns:a16="http://schemas.microsoft.com/office/drawing/2014/main" id="{00000000-0008-0000-0400-000030010000}"/>
              </a:ext>
            </a:extLst>
          </xdr:cNvPr>
          <xdr:cNvSpPr/>
        </xdr:nvSpPr>
        <xdr:spPr>
          <a:xfrm>
            <a:off x="1016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05" name="QRANDROID">
            <a:extLst>
              <a:ext uri="{FF2B5EF4-FFF2-40B4-BE49-F238E27FC236}">
                <a16:creationId xmlns:a16="http://schemas.microsoft.com/office/drawing/2014/main" id="{00000000-0008-0000-0400-000031010000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06" name="QRANDROID">
            <a:extLst>
              <a:ext uri="{FF2B5EF4-FFF2-40B4-BE49-F238E27FC236}">
                <a16:creationId xmlns:a16="http://schemas.microsoft.com/office/drawing/2014/main" id="{00000000-0008-0000-0400-000032010000}"/>
              </a:ext>
            </a:extLst>
          </xdr:cNvPr>
          <xdr:cNvSpPr/>
        </xdr:nvSpPr>
        <xdr:spPr>
          <a:xfrm>
            <a:off x="177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07" name="QRANDROID">
            <a:extLst>
              <a:ext uri="{FF2B5EF4-FFF2-40B4-BE49-F238E27FC236}">
                <a16:creationId xmlns:a16="http://schemas.microsoft.com/office/drawing/2014/main" id="{00000000-0008-0000-0400-000033010000}"/>
              </a:ext>
            </a:extLst>
          </xdr:cNvPr>
          <xdr:cNvSpPr/>
        </xdr:nvSpPr>
        <xdr:spPr>
          <a:xfrm>
            <a:off x="203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08" name="QRANDROID">
            <a:extLst>
              <a:ext uri="{FF2B5EF4-FFF2-40B4-BE49-F238E27FC236}">
                <a16:creationId xmlns:a16="http://schemas.microsoft.com/office/drawing/2014/main" id="{00000000-0008-0000-0400-000034010000}"/>
              </a:ext>
            </a:extLst>
          </xdr:cNvPr>
          <xdr:cNvSpPr/>
        </xdr:nvSpPr>
        <xdr:spPr>
          <a:xfrm>
            <a:off x="2540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09" name="QRANDROID">
            <a:extLst>
              <a:ext uri="{FF2B5EF4-FFF2-40B4-BE49-F238E27FC236}">
                <a16:creationId xmlns:a16="http://schemas.microsoft.com/office/drawing/2014/main" id="{00000000-0008-0000-0400-000035010000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10" name="QRANDROID">
            <a:extLst>
              <a:ext uri="{FF2B5EF4-FFF2-40B4-BE49-F238E27FC236}">
                <a16:creationId xmlns:a16="http://schemas.microsoft.com/office/drawing/2014/main" id="{00000000-0008-0000-0400-000036010000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11" name="QRANDROID">
            <a:extLst>
              <a:ext uri="{FF2B5EF4-FFF2-40B4-BE49-F238E27FC236}">
                <a16:creationId xmlns:a16="http://schemas.microsoft.com/office/drawing/2014/main" id="{00000000-0008-0000-0400-000037010000}"/>
              </a:ext>
            </a:extLst>
          </xdr:cNvPr>
          <xdr:cNvSpPr/>
        </xdr:nvSpPr>
        <xdr:spPr>
          <a:xfrm>
            <a:off x="3683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12" name="QRANDROID">
            <a:extLst>
              <a:ext uri="{FF2B5EF4-FFF2-40B4-BE49-F238E27FC236}">
                <a16:creationId xmlns:a16="http://schemas.microsoft.com/office/drawing/2014/main" id="{00000000-0008-0000-0400-000038010000}"/>
              </a:ext>
            </a:extLst>
          </xdr:cNvPr>
          <xdr:cNvSpPr/>
        </xdr:nvSpPr>
        <xdr:spPr>
          <a:xfrm>
            <a:off x="3810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13" name="QRANDROID">
            <a:extLst>
              <a:ext uri="{FF2B5EF4-FFF2-40B4-BE49-F238E27FC236}">
                <a16:creationId xmlns:a16="http://schemas.microsoft.com/office/drawing/2014/main" id="{00000000-0008-0000-0400-000039010000}"/>
              </a:ext>
            </a:extLst>
          </xdr:cNvPr>
          <xdr:cNvSpPr/>
        </xdr:nvSpPr>
        <xdr:spPr>
          <a:xfrm>
            <a:off x="406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14" name="QRANDROID">
            <a:extLst>
              <a:ext uri="{FF2B5EF4-FFF2-40B4-BE49-F238E27FC236}">
                <a16:creationId xmlns:a16="http://schemas.microsoft.com/office/drawing/2014/main" id="{00000000-0008-0000-0400-00003A010000}"/>
              </a:ext>
            </a:extLst>
          </xdr:cNvPr>
          <xdr:cNvSpPr/>
        </xdr:nvSpPr>
        <xdr:spPr>
          <a:xfrm>
            <a:off x="419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15" name="QRANDROID">
            <a:extLst>
              <a:ext uri="{FF2B5EF4-FFF2-40B4-BE49-F238E27FC236}">
                <a16:creationId xmlns:a16="http://schemas.microsoft.com/office/drawing/2014/main" id="{00000000-0008-0000-0400-00003B010000}"/>
              </a:ext>
            </a:extLst>
          </xdr:cNvPr>
          <xdr:cNvSpPr/>
        </xdr:nvSpPr>
        <xdr:spPr>
          <a:xfrm>
            <a:off x="457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16" name="QRANDROID">
            <a:extLst>
              <a:ext uri="{FF2B5EF4-FFF2-40B4-BE49-F238E27FC236}">
                <a16:creationId xmlns:a16="http://schemas.microsoft.com/office/drawing/2014/main" id="{00000000-0008-0000-0400-00003C010000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17" name="QRANDROID">
            <a:extLst>
              <a:ext uri="{FF2B5EF4-FFF2-40B4-BE49-F238E27FC236}">
                <a16:creationId xmlns:a16="http://schemas.microsoft.com/office/drawing/2014/main" id="{00000000-0008-0000-0400-00003D010000}"/>
              </a:ext>
            </a:extLst>
          </xdr:cNvPr>
          <xdr:cNvSpPr/>
        </xdr:nvSpPr>
        <xdr:spPr>
          <a:xfrm>
            <a:off x="889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18" name="QRANDROID">
            <a:extLst>
              <a:ext uri="{FF2B5EF4-FFF2-40B4-BE49-F238E27FC236}">
                <a16:creationId xmlns:a16="http://schemas.microsoft.com/office/drawing/2014/main" id="{00000000-0008-0000-0400-00003E010000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19" name="QRANDROID">
            <a:extLst>
              <a:ext uri="{FF2B5EF4-FFF2-40B4-BE49-F238E27FC236}">
                <a16:creationId xmlns:a16="http://schemas.microsoft.com/office/drawing/2014/main" id="{00000000-0008-0000-0400-00003F010000}"/>
              </a:ext>
            </a:extLst>
          </xdr:cNvPr>
          <xdr:cNvSpPr/>
        </xdr:nvSpPr>
        <xdr:spPr>
          <a:xfrm>
            <a:off x="114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20" name="QRANDROID">
            <a:extLst>
              <a:ext uri="{FF2B5EF4-FFF2-40B4-BE49-F238E27FC236}">
                <a16:creationId xmlns:a16="http://schemas.microsoft.com/office/drawing/2014/main" id="{00000000-0008-0000-0400-000040010000}"/>
              </a:ext>
            </a:extLst>
          </xdr:cNvPr>
          <xdr:cNvSpPr/>
        </xdr:nvSpPr>
        <xdr:spPr>
          <a:xfrm>
            <a:off x="139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21" name="QRANDROID">
            <a:extLst>
              <a:ext uri="{FF2B5EF4-FFF2-40B4-BE49-F238E27FC236}">
                <a16:creationId xmlns:a16="http://schemas.microsoft.com/office/drawing/2014/main" id="{00000000-0008-0000-0400-000041010000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22" name="QRANDROID">
            <a:extLst>
              <a:ext uri="{FF2B5EF4-FFF2-40B4-BE49-F238E27FC236}">
                <a16:creationId xmlns:a16="http://schemas.microsoft.com/office/drawing/2014/main" id="{00000000-0008-0000-0400-000042010000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23" name="QRANDROID">
            <a:extLst>
              <a:ext uri="{FF2B5EF4-FFF2-40B4-BE49-F238E27FC236}">
                <a16:creationId xmlns:a16="http://schemas.microsoft.com/office/drawing/2014/main" id="{00000000-0008-0000-0400-000043010000}"/>
              </a:ext>
            </a:extLst>
          </xdr:cNvPr>
          <xdr:cNvSpPr/>
        </xdr:nvSpPr>
        <xdr:spPr>
          <a:xfrm>
            <a:off x="2032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24" name="QRANDROID">
            <a:extLst>
              <a:ext uri="{FF2B5EF4-FFF2-40B4-BE49-F238E27FC236}">
                <a16:creationId xmlns:a16="http://schemas.microsoft.com/office/drawing/2014/main" id="{00000000-0008-0000-0400-000044010000}"/>
              </a:ext>
            </a:extLst>
          </xdr:cNvPr>
          <xdr:cNvSpPr/>
        </xdr:nvSpPr>
        <xdr:spPr>
          <a:xfrm>
            <a:off x="2159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25" name="QRANDROID">
            <a:extLst>
              <a:ext uri="{FF2B5EF4-FFF2-40B4-BE49-F238E27FC236}">
                <a16:creationId xmlns:a16="http://schemas.microsoft.com/office/drawing/2014/main" id="{00000000-0008-0000-0400-000045010000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26" name="QRANDROID">
            <a:extLst>
              <a:ext uri="{FF2B5EF4-FFF2-40B4-BE49-F238E27FC236}">
                <a16:creationId xmlns:a16="http://schemas.microsoft.com/office/drawing/2014/main" id="{00000000-0008-0000-0400-000046010000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27" name="QRANDROID">
            <a:extLst>
              <a:ext uri="{FF2B5EF4-FFF2-40B4-BE49-F238E27FC236}">
                <a16:creationId xmlns:a16="http://schemas.microsoft.com/office/drawing/2014/main" id="{00000000-0008-0000-0400-000047010000}"/>
              </a:ext>
            </a:extLst>
          </xdr:cNvPr>
          <xdr:cNvSpPr/>
        </xdr:nvSpPr>
        <xdr:spPr>
          <a:xfrm>
            <a:off x="292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28" name="QRANDROID">
            <a:extLst>
              <a:ext uri="{FF2B5EF4-FFF2-40B4-BE49-F238E27FC236}">
                <a16:creationId xmlns:a16="http://schemas.microsoft.com/office/drawing/2014/main" id="{00000000-0008-0000-0400-000048010000}"/>
              </a:ext>
            </a:extLst>
          </xdr:cNvPr>
          <xdr:cNvSpPr/>
        </xdr:nvSpPr>
        <xdr:spPr>
          <a:xfrm>
            <a:off x="3048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29" name="QRANDROID">
            <a:extLst>
              <a:ext uri="{FF2B5EF4-FFF2-40B4-BE49-F238E27FC236}">
                <a16:creationId xmlns:a16="http://schemas.microsoft.com/office/drawing/2014/main" id="{00000000-0008-0000-0400-000049010000}"/>
              </a:ext>
            </a:extLst>
          </xdr:cNvPr>
          <xdr:cNvSpPr/>
        </xdr:nvSpPr>
        <xdr:spPr>
          <a:xfrm>
            <a:off x="3175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30" name="QRANDROID">
            <a:extLst>
              <a:ext uri="{FF2B5EF4-FFF2-40B4-BE49-F238E27FC236}">
                <a16:creationId xmlns:a16="http://schemas.microsoft.com/office/drawing/2014/main" id="{00000000-0008-0000-0400-00004A010000}"/>
              </a:ext>
            </a:extLst>
          </xdr:cNvPr>
          <xdr:cNvSpPr/>
        </xdr:nvSpPr>
        <xdr:spPr>
          <a:xfrm>
            <a:off x="3429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31" name="QRANDROID">
            <a:extLst>
              <a:ext uri="{FF2B5EF4-FFF2-40B4-BE49-F238E27FC236}">
                <a16:creationId xmlns:a16="http://schemas.microsoft.com/office/drawing/2014/main" id="{00000000-0008-0000-0400-00004B010000}"/>
              </a:ext>
            </a:extLst>
          </xdr:cNvPr>
          <xdr:cNvSpPr/>
        </xdr:nvSpPr>
        <xdr:spPr>
          <a:xfrm>
            <a:off x="3556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32" name="QRANDROID">
            <a:extLst>
              <a:ext uri="{FF2B5EF4-FFF2-40B4-BE49-F238E27FC236}">
                <a16:creationId xmlns:a16="http://schemas.microsoft.com/office/drawing/2014/main" id="{00000000-0008-0000-0400-00004C010000}"/>
              </a:ext>
            </a:extLst>
          </xdr:cNvPr>
          <xdr:cNvSpPr/>
        </xdr:nvSpPr>
        <xdr:spPr>
          <a:xfrm>
            <a:off x="419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33" name="QRANDROID">
            <a:extLst>
              <a:ext uri="{FF2B5EF4-FFF2-40B4-BE49-F238E27FC236}">
                <a16:creationId xmlns:a16="http://schemas.microsoft.com/office/drawing/2014/main" id="{00000000-0008-0000-0400-00004D010000}"/>
              </a:ext>
            </a:extLst>
          </xdr:cNvPr>
          <xdr:cNvSpPr/>
        </xdr:nvSpPr>
        <xdr:spPr>
          <a:xfrm>
            <a:off x="4572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34" name="QRANDROID">
            <a:extLst>
              <a:ext uri="{FF2B5EF4-FFF2-40B4-BE49-F238E27FC236}">
                <a16:creationId xmlns:a16="http://schemas.microsoft.com/office/drawing/2014/main" id="{00000000-0008-0000-0400-00004E010000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35" name="QRANDROID">
            <a:extLst>
              <a:ext uri="{FF2B5EF4-FFF2-40B4-BE49-F238E27FC236}">
                <a16:creationId xmlns:a16="http://schemas.microsoft.com/office/drawing/2014/main" id="{00000000-0008-0000-0400-00004F010000}"/>
              </a:ext>
            </a:extLst>
          </xdr:cNvPr>
          <xdr:cNvSpPr/>
        </xdr:nvSpPr>
        <xdr:spPr>
          <a:xfrm>
            <a:off x="50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36" name="QRANDROID">
            <a:extLst>
              <a:ext uri="{FF2B5EF4-FFF2-40B4-BE49-F238E27FC236}">
                <a16:creationId xmlns:a16="http://schemas.microsoft.com/office/drawing/2014/main" id="{00000000-0008-0000-0400-00005001000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37" name="QRANDROID">
            <a:extLst>
              <a:ext uri="{FF2B5EF4-FFF2-40B4-BE49-F238E27FC236}">
                <a16:creationId xmlns:a16="http://schemas.microsoft.com/office/drawing/2014/main" id="{00000000-0008-0000-0400-000051010000}"/>
              </a:ext>
            </a:extLst>
          </xdr:cNvPr>
          <xdr:cNvSpPr/>
        </xdr:nvSpPr>
        <xdr:spPr>
          <a:xfrm>
            <a:off x="1651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38" name="QRANDROID">
            <a:extLst>
              <a:ext uri="{FF2B5EF4-FFF2-40B4-BE49-F238E27FC236}">
                <a16:creationId xmlns:a16="http://schemas.microsoft.com/office/drawing/2014/main" id="{00000000-0008-0000-0400-000052010000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39" name="QRANDROID">
            <a:extLst>
              <a:ext uri="{FF2B5EF4-FFF2-40B4-BE49-F238E27FC236}">
                <a16:creationId xmlns:a16="http://schemas.microsoft.com/office/drawing/2014/main" id="{00000000-0008-0000-0400-000053010000}"/>
              </a:ext>
            </a:extLst>
          </xdr:cNvPr>
          <xdr:cNvSpPr/>
        </xdr:nvSpPr>
        <xdr:spPr>
          <a:xfrm>
            <a:off x="203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40" name="QRANDROID">
            <a:extLst>
              <a:ext uri="{FF2B5EF4-FFF2-40B4-BE49-F238E27FC236}">
                <a16:creationId xmlns:a16="http://schemas.microsoft.com/office/drawing/2014/main" id="{00000000-0008-0000-0400-000054010000}"/>
              </a:ext>
            </a:extLst>
          </xdr:cNvPr>
          <xdr:cNvSpPr/>
        </xdr:nvSpPr>
        <xdr:spPr>
          <a:xfrm>
            <a:off x="2540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41" name="QRANDROID">
            <a:extLst>
              <a:ext uri="{FF2B5EF4-FFF2-40B4-BE49-F238E27FC236}">
                <a16:creationId xmlns:a16="http://schemas.microsoft.com/office/drawing/2014/main" id="{00000000-0008-0000-0400-000055010000}"/>
              </a:ext>
            </a:extLst>
          </xdr:cNvPr>
          <xdr:cNvSpPr/>
        </xdr:nvSpPr>
        <xdr:spPr>
          <a:xfrm>
            <a:off x="2667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42" name="QRANDROID">
            <a:extLst>
              <a:ext uri="{FF2B5EF4-FFF2-40B4-BE49-F238E27FC236}">
                <a16:creationId xmlns:a16="http://schemas.microsoft.com/office/drawing/2014/main" id="{00000000-0008-0000-0400-000056010000}"/>
              </a:ext>
            </a:extLst>
          </xdr:cNvPr>
          <xdr:cNvSpPr/>
        </xdr:nvSpPr>
        <xdr:spPr>
          <a:xfrm>
            <a:off x="330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43" name="QRANDROID">
            <a:extLst>
              <a:ext uri="{FF2B5EF4-FFF2-40B4-BE49-F238E27FC236}">
                <a16:creationId xmlns:a16="http://schemas.microsoft.com/office/drawing/2014/main" id="{00000000-0008-0000-0400-000057010000}"/>
              </a:ext>
            </a:extLst>
          </xdr:cNvPr>
          <xdr:cNvSpPr/>
        </xdr:nvSpPr>
        <xdr:spPr>
          <a:xfrm>
            <a:off x="3683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44" name="QRANDROID">
            <a:extLst>
              <a:ext uri="{FF2B5EF4-FFF2-40B4-BE49-F238E27FC236}">
                <a16:creationId xmlns:a16="http://schemas.microsoft.com/office/drawing/2014/main" id="{00000000-0008-0000-0400-000058010000}"/>
              </a:ext>
            </a:extLst>
          </xdr:cNvPr>
          <xdr:cNvSpPr/>
        </xdr:nvSpPr>
        <xdr:spPr>
          <a:xfrm>
            <a:off x="3810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45" name="QRANDROID">
            <a:extLst>
              <a:ext uri="{FF2B5EF4-FFF2-40B4-BE49-F238E27FC236}">
                <a16:creationId xmlns:a16="http://schemas.microsoft.com/office/drawing/2014/main" id="{00000000-0008-0000-0400-000059010000}"/>
              </a:ext>
            </a:extLst>
          </xdr:cNvPr>
          <xdr:cNvSpPr/>
        </xdr:nvSpPr>
        <xdr:spPr>
          <a:xfrm>
            <a:off x="3937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46" name="QRANDROID">
            <a:extLst>
              <a:ext uri="{FF2B5EF4-FFF2-40B4-BE49-F238E27FC236}">
                <a16:creationId xmlns:a16="http://schemas.microsoft.com/office/drawing/2014/main" id="{00000000-0008-0000-0400-00005A010000}"/>
              </a:ext>
            </a:extLst>
          </xdr:cNvPr>
          <xdr:cNvSpPr/>
        </xdr:nvSpPr>
        <xdr:spPr>
          <a:xfrm>
            <a:off x="4064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47" name="QRANDROID">
            <a:extLst>
              <a:ext uri="{FF2B5EF4-FFF2-40B4-BE49-F238E27FC236}">
                <a16:creationId xmlns:a16="http://schemas.microsoft.com/office/drawing/2014/main" id="{00000000-0008-0000-0400-00005B010000}"/>
              </a:ext>
            </a:extLst>
          </xdr:cNvPr>
          <xdr:cNvSpPr/>
        </xdr:nvSpPr>
        <xdr:spPr>
          <a:xfrm>
            <a:off x="4191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48" name="QRANDROID">
            <a:extLst>
              <a:ext uri="{FF2B5EF4-FFF2-40B4-BE49-F238E27FC236}">
                <a16:creationId xmlns:a16="http://schemas.microsoft.com/office/drawing/2014/main" id="{00000000-0008-0000-0400-00005C010000}"/>
              </a:ext>
            </a:extLst>
          </xdr:cNvPr>
          <xdr:cNvSpPr/>
        </xdr:nvSpPr>
        <xdr:spPr>
          <a:xfrm>
            <a:off x="4445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49" name="QRANDROID">
            <a:extLst>
              <a:ext uri="{FF2B5EF4-FFF2-40B4-BE49-F238E27FC236}">
                <a16:creationId xmlns:a16="http://schemas.microsoft.com/office/drawing/2014/main" id="{00000000-0008-0000-0400-00005D010000}"/>
              </a:ext>
            </a:extLst>
          </xdr:cNvPr>
          <xdr:cNvSpPr/>
        </xdr:nvSpPr>
        <xdr:spPr>
          <a:xfrm>
            <a:off x="457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50" name="QRANDROID">
            <a:extLst>
              <a:ext uri="{FF2B5EF4-FFF2-40B4-BE49-F238E27FC236}">
                <a16:creationId xmlns:a16="http://schemas.microsoft.com/office/drawing/2014/main" id="{00000000-0008-0000-0400-00005E010000}"/>
              </a:ext>
            </a:extLst>
          </xdr:cNvPr>
          <xdr:cNvSpPr/>
        </xdr:nvSpPr>
        <xdr:spPr>
          <a:xfrm>
            <a:off x="381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51" name="QRANDROID">
            <a:extLst>
              <a:ext uri="{FF2B5EF4-FFF2-40B4-BE49-F238E27FC236}">
                <a16:creationId xmlns:a16="http://schemas.microsoft.com/office/drawing/2014/main" id="{00000000-0008-0000-0400-00005F010000}"/>
              </a:ext>
            </a:extLst>
          </xdr:cNvPr>
          <xdr:cNvSpPr/>
        </xdr:nvSpPr>
        <xdr:spPr>
          <a:xfrm>
            <a:off x="635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52" name="QRANDROID">
            <a:extLst>
              <a:ext uri="{FF2B5EF4-FFF2-40B4-BE49-F238E27FC236}">
                <a16:creationId xmlns:a16="http://schemas.microsoft.com/office/drawing/2014/main" id="{00000000-0008-0000-0400-000060010000}"/>
              </a:ext>
            </a:extLst>
          </xdr:cNvPr>
          <xdr:cNvSpPr/>
        </xdr:nvSpPr>
        <xdr:spPr>
          <a:xfrm>
            <a:off x="127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53" name="QRANDROID">
            <a:extLst>
              <a:ext uri="{FF2B5EF4-FFF2-40B4-BE49-F238E27FC236}">
                <a16:creationId xmlns:a16="http://schemas.microsoft.com/office/drawing/2014/main" id="{00000000-0008-0000-0400-000061010000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54" name="QRANDROID">
            <a:extLst>
              <a:ext uri="{FF2B5EF4-FFF2-40B4-BE49-F238E27FC236}">
                <a16:creationId xmlns:a16="http://schemas.microsoft.com/office/drawing/2014/main" id="{00000000-0008-0000-0400-000062010000}"/>
              </a:ext>
            </a:extLst>
          </xdr:cNvPr>
          <xdr:cNvSpPr/>
        </xdr:nvSpPr>
        <xdr:spPr>
          <a:xfrm>
            <a:off x="152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55" name="QRANDROID">
            <a:extLst>
              <a:ext uri="{FF2B5EF4-FFF2-40B4-BE49-F238E27FC236}">
                <a16:creationId xmlns:a16="http://schemas.microsoft.com/office/drawing/2014/main" id="{00000000-0008-0000-0400-000063010000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56" name="QRANDROID">
            <a:extLst>
              <a:ext uri="{FF2B5EF4-FFF2-40B4-BE49-F238E27FC236}">
                <a16:creationId xmlns:a16="http://schemas.microsoft.com/office/drawing/2014/main" id="{00000000-0008-0000-0400-000064010000}"/>
              </a:ext>
            </a:extLst>
          </xdr:cNvPr>
          <xdr:cNvSpPr/>
        </xdr:nvSpPr>
        <xdr:spPr>
          <a:xfrm>
            <a:off x="2159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57" name="QRANDROID">
            <a:extLst>
              <a:ext uri="{FF2B5EF4-FFF2-40B4-BE49-F238E27FC236}">
                <a16:creationId xmlns:a16="http://schemas.microsoft.com/office/drawing/2014/main" id="{00000000-0008-0000-0400-000065010000}"/>
              </a:ext>
            </a:extLst>
          </xdr:cNvPr>
          <xdr:cNvSpPr/>
        </xdr:nvSpPr>
        <xdr:spPr>
          <a:xfrm>
            <a:off x="2286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58" name="QRANDROID">
            <a:extLst>
              <a:ext uri="{FF2B5EF4-FFF2-40B4-BE49-F238E27FC236}">
                <a16:creationId xmlns:a16="http://schemas.microsoft.com/office/drawing/2014/main" id="{00000000-0008-0000-0400-000066010000}"/>
              </a:ext>
            </a:extLst>
          </xdr:cNvPr>
          <xdr:cNvSpPr/>
        </xdr:nvSpPr>
        <xdr:spPr>
          <a:xfrm>
            <a:off x="2413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59" name="QRANDROID">
            <a:extLst>
              <a:ext uri="{FF2B5EF4-FFF2-40B4-BE49-F238E27FC236}">
                <a16:creationId xmlns:a16="http://schemas.microsoft.com/office/drawing/2014/main" id="{00000000-0008-0000-0400-000067010000}"/>
              </a:ext>
            </a:extLst>
          </xdr:cNvPr>
          <xdr:cNvSpPr/>
        </xdr:nvSpPr>
        <xdr:spPr>
          <a:xfrm>
            <a:off x="266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60" name="QRANDROID">
            <a:extLst>
              <a:ext uri="{FF2B5EF4-FFF2-40B4-BE49-F238E27FC236}">
                <a16:creationId xmlns:a16="http://schemas.microsoft.com/office/drawing/2014/main" id="{00000000-0008-0000-0400-000068010000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61" name="QRANDROID">
            <a:extLst>
              <a:ext uri="{FF2B5EF4-FFF2-40B4-BE49-F238E27FC236}">
                <a16:creationId xmlns:a16="http://schemas.microsoft.com/office/drawing/2014/main" id="{00000000-0008-0000-0400-000069010000}"/>
              </a:ext>
            </a:extLst>
          </xdr:cNvPr>
          <xdr:cNvSpPr/>
        </xdr:nvSpPr>
        <xdr:spPr>
          <a:xfrm>
            <a:off x="3048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62" name="QRANDROID">
            <a:extLst>
              <a:ext uri="{FF2B5EF4-FFF2-40B4-BE49-F238E27FC236}">
                <a16:creationId xmlns:a16="http://schemas.microsoft.com/office/drawing/2014/main" id="{00000000-0008-0000-0400-00006A010000}"/>
              </a:ext>
            </a:extLst>
          </xdr:cNvPr>
          <xdr:cNvSpPr/>
        </xdr:nvSpPr>
        <xdr:spPr>
          <a:xfrm>
            <a:off x="3175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63" name="QRANDROID">
            <a:extLst>
              <a:ext uri="{FF2B5EF4-FFF2-40B4-BE49-F238E27FC236}">
                <a16:creationId xmlns:a16="http://schemas.microsoft.com/office/drawing/2014/main" id="{00000000-0008-0000-0400-00006B010000}"/>
              </a:ext>
            </a:extLst>
          </xdr:cNvPr>
          <xdr:cNvSpPr/>
        </xdr:nvSpPr>
        <xdr:spPr>
          <a:xfrm>
            <a:off x="3556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64" name="QRANDROID">
            <a:extLst>
              <a:ext uri="{FF2B5EF4-FFF2-40B4-BE49-F238E27FC236}">
                <a16:creationId xmlns:a16="http://schemas.microsoft.com/office/drawing/2014/main" id="{00000000-0008-0000-0400-00006C010000}"/>
              </a:ext>
            </a:extLst>
          </xdr:cNvPr>
          <xdr:cNvSpPr/>
        </xdr:nvSpPr>
        <xdr:spPr>
          <a:xfrm>
            <a:off x="3683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65" name="QRANDROID">
            <a:extLst>
              <a:ext uri="{FF2B5EF4-FFF2-40B4-BE49-F238E27FC236}">
                <a16:creationId xmlns:a16="http://schemas.microsoft.com/office/drawing/2014/main" id="{00000000-0008-0000-0400-00006D010000}"/>
              </a:ext>
            </a:extLst>
          </xdr:cNvPr>
          <xdr:cNvSpPr/>
        </xdr:nvSpPr>
        <xdr:spPr>
          <a:xfrm>
            <a:off x="393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66" name="QRANDROID">
            <a:extLst>
              <a:ext uri="{FF2B5EF4-FFF2-40B4-BE49-F238E27FC236}">
                <a16:creationId xmlns:a16="http://schemas.microsoft.com/office/drawing/2014/main" id="{00000000-0008-0000-0400-00006E010000}"/>
              </a:ext>
            </a:extLst>
          </xdr:cNvPr>
          <xdr:cNvSpPr/>
        </xdr:nvSpPr>
        <xdr:spPr>
          <a:xfrm>
            <a:off x="4445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67" name="QRANDROID">
            <a:extLst>
              <a:ext uri="{FF2B5EF4-FFF2-40B4-BE49-F238E27FC236}">
                <a16:creationId xmlns:a16="http://schemas.microsoft.com/office/drawing/2014/main" id="{00000000-0008-0000-0400-00006F010000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68" name="QRANDROID">
            <a:extLst>
              <a:ext uri="{FF2B5EF4-FFF2-40B4-BE49-F238E27FC236}">
                <a16:creationId xmlns:a16="http://schemas.microsoft.com/office/drawing/2014/main" id="{00000000-0008-0000-0400-000070010000}"/>
              </a:ext>
            </a:extLst>
          </xdr:cNvPr>
          <xdr:cNvSpPr/>
        </xdr:nvSpPr>
        <xdr:spPr>
          <a:xfrm>
            <a:off x="127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69" name="QRANDROID">
            <a:extLst>
              <a:ext uri="{FF2B5EF4-FFF2-40B4-BE49-F238E27FC236}">
                <a16:creationId xmlns:a16="http://schemas.microsoft.com/office/drawing/2014/main" id="{00000000-0008-0000-0400-000071010000}"/>
              </a:ext>
            </a:extLst>
          </xdr:cNvPr>
          <xdr:cNvSpPr/>
        </xdr:nvSpPr>
        <xdr:spPr>
          <a:xfrm>
            <a:off x="25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70" name="QRANDROID">
            <a:extLst>
              <a:ext uri="{FF2B5EF4-FFF2-40B4-BE49-F238E27FC236}">
                <a16:creationId xmlns:a16="http://schemas.microsoft.com/office/drawing/2014/main" id="{00000000-0008-0000-0400-000072010000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71" name="QRANDROID">
            <a:extLst>
              <a:ext uri="{FF2B5EF4-FFF2-40B4-BE49-F238E27FC236}">
                <a16:creationId xmlns:a16="http://schemas.microsoft.com/office/drawing/2014/main" id="{00000000-0008-0000-0400-000073010000}"/>
              </a:ext>
            </a:extLst>
          </xdr:cNvPr>
          <xdr:cNvSpPr/>
        </xdr:nvSpPr>
        <xdr:spPr>
          <a:xfrm>
            <a:off x="63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72" name="QRANDROID">
            <a:extLst>
              <a:ext uri="{FF2B5EF4-FFF2-40B4-BE49-F238E27FC236}">
                <a16:creationId xmlns:a16="http://schemas.microsoft.com/office/drawing/2014/main" id="{00000000-0008-0000-0400-000074010000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73" name="QRANDROID">
            <a:extLst>
              <a:ext uri="{FF2B5EF4-FFF2-40B4-BE49-F238E27FC236}">
                <a16:creationId xmlns:a16="http://schemas.microsoft.com/office/drawing/2014/main" id="{00000000-0008-0000-0400-000075010000}"/>
              </a:ext>
            </a:extLst>
          </xdr:cNvPr>
          <xdr:cNvSpPr/>
        </xdr:nvSpPr>
        <xdr:spPr>
          <a:xfrm>
            <a:off x="889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74" name="QRANDROID">
            <a:extLst>
              <a:ext uri="{FF2B5EF4-FFF2-40B4-BE49-F238E27FC236}">
                <a16:creationId xmlns:a16="http://schemas.microsoft.com/office/drawing/2014/main" id="{00000000-0008-0000-0400-000076010000}"/>
              </a:ext>
            </a:extLst>
          </xdr:cNvPr>
          <xdr:cNvSpPr/>
        </xdr:nvSpPr>
        <xdr:spPr>
          <a:xfrm>
            <a:off x="1016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75" name="QRANDROID">
            <a:extLst>
              <a:ext uri="{FF2B5EF4-FFF2-40B4-BE49-F238E27FC236}">
                <a16:creationId xmlns:a16="http://schemas.microsoft.com/office/drawing/2014/main" id="{00000000-0008-0000-0400-000077010000}"/>
              </a:ext>
            </a:extLst>
          </xdr:cNvPr>
          <xdr:cNvSpPr/>
        </xdr:nvSpPr>
        <xdr:spPr>
          <a:xfrm>
            <a:off x="152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76" name="QRANDROID">
            <a:extLst>
              <a:ext uri="{FF2B5EF4-FFF2-40B4-BE49-F238E27FC236}">
                <a16:creationId xmlns:a16="http://schemas.microsoft.com/office/drawing/2014/main" id="{00000000-0008-0000-0400-000078010000}"/>
              </a:ext>
            </a:extLst>
          </xdr:cNvPr>
          <xdr:cNvSpPr/>
        </xdr:nvSpPr>
        <xdr:spPr>
          <a:xfrm>
            <a:off x="1778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77" name="QRANDROID">
            <a:extLst>
              <a:ext uri="{FF2B5EF4-FFF2-40B4-BE49-F238E27FC236}">
                <a16:creationId xmlns:a16="http://schemas.microsoft.com/office/drawing/2014/main" id="{00000000-0008-0000-0400-000079010000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78" name="QRANDROID">
            <a:extLst>
              <a:ext uri="{FF2B5EF4-FFF2-40B4-BE49-F238E27FC236}">
                <a16:creationId xmlns:a16="http://schemas.microsoft.com/office/drawing/2014/main" id="{00000000-0008-0000-0400-00007A010000}"/>
              </a:ext>
            </a:extLst>
          </xdr:cNvPr>
          <xdr:cNvSpPr/>
        </xdr:nvSpPr>
        <xdr:spPr>
          <a:xfrm>
            <a:off x="2540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79" name="QRANDROID">
            <a:extLst>
              <a:ext uri="{FF2B5EF4-FFF2-40B4-BE49-F238E27FC236}">
                <a16:creationId xmlns:a16="http://schemas.microsoft.com/office/drawing/2014/main" id="{00000000-0008-0000-0400-00007B010000}"/>
              </a:ext>
            </a:extLst>
          </xdr:cNvPr>
          <xdr:cNvSpPr/>
        </xdr:nvSpPr>
        <xdr:spPr>
          <a:xfrm>
            <a:off x="2667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80" name="QRANDROID">
            <a:extLst>
              <a:ext uri="{FF2B5EF4-FFF2-40B4-BE49-F238E27FC236}">
                <a16:creationId xmlns:a16="http://schemas.microsoft.com/office/drawing/2014/main" id="{00000000-0008-0000-0400-00007C010000}"/>
              </a:ext>
            </a:extLst>
          </xdr:cNvPr>
          <xdr:cNvSpPr/>
        </xdr:nvSpPr>
        <xdr:spPr>
          <a:xfrm>
            <a:off x="3048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81" name="QRANDROID">
            <a:extLst>
              <a:ext uri="{FF2B5EF4-FFF2-40B4-BE49-F238E27FC236}">
                <a16:creationId xmlns:a16="http://schemas.microsoft.com/office/drawing/2014/main" id="{00000000-0008-0000-0400-00007D010000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82" name="QRANDROID">
            <a:extLst>
              <a:ext uri="{FF2B5EF4-FFF2-40B4-BE49-F238E27FC236}">
                <a16:creationId xmlns:a16="http://schemas.microsoft.com/office/drawing/2014/main" id="{00000000-0008-0000-0400-00007E010000}"/>
              </a:ext>
            </a:extLst>
          </xdr:cNvPr>
          <xdr:cNvSpPr/>
        </xdr:nvSpPr>
        <xdr:spPr>
          <a:xfrm>
            <a:off x="3429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83" name="QRANDROID">
            <a:extLst>
              <a:ext uri="{FF2B5EF4-FFF2-40B4-BE49-F238E27FC236}">
                <a16:creationId xmlns:a16="http://schemas.microsoft.com/office/drawing/2014/main" id="{00000000-0008-0000-0400-00007F010000}"/>
              </a:ext>
            </a:extLst>
          </xdr:cNvPr>
          <xdr:cNvSpPr/>
        </xdr:nvSpPr>
        <xdr:spPr>
          <a:xfrm>
            <a:off x="3556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84" name="QRANDROID">
            <a:extLst>
              <a:ext uri="{FF2B5EF4-FFF2-40B4-BE49-F238E27FC236}">
                <a16:creationId xmlns:a16="http://schemas.microsoft.com/office/drawing/2014/main" id="{00000000-0008-0000-0400-000080010000}"/>
              </a:ext>
            </a:extLst>
          </xdr:cNvPr>
          <xdr:cNvSpPr/>
        </xdr:nvSpPr>
        <xdr:spPr>
          <a:xfrm>
            <a:off x="3683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85" name="QRANDROID">
            <a:extLst>
              <a:ext uri="{FF2B5EF4-FFF2-40B4-BE49-F238E27FC236}">
                <a16:creationId xmlns:a16="http://schemas.microsoft.com/office/drawing/2014/main" id="{00000000-0008-0000-0400-000081010000}"/>
              </a:ext>
            </a:extLst>
          </xdr:cNvPr>
          <xdr:cNvSpPr/>
        </xdr:nvSpPr>
        <xdr:spPr>
          <a:xfrm>
            <a:off x="3810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86" name="QRANDROID">
            <a:extLst>
              <a:ext uri="{FF2B5EF4-FFF2-40B4-BE49-F238E27FC236}">
                <a16:creationId xmlns:a16="http://schemas.microsoft.com/office/drawing/2014/main" id="{00000000-0008-0000-0400-000082010000}"/>
              </a:ext>
            </a:extLst>
          </xdr:cNvPr>
          <xdr:cNvSpPr/>
        </xdr:nvSpPr>
        <xdr:spPr>
          <a:xfrm>
            <a:off x="4318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87" name="QRANDROID">
            <a:extLst>
              <a:ext uri="{FF2B5EF4-FFF2-40B4-BE49-F238E27FC236}">
                <a16:creationId xmlns:a16="http://schemas.microsoft.com/office/drawing/2014/main" id="{00000000-0008-0000-0400-000083010000}"/>
              </a:ext>
            </a:extLst>
          </xdr:cNvPr>
          <xdr:cNvSpPr/>
        </xdr:nvSpPr>
        <xdr:spPr>
          <a:xfrm>
            <a:off x="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88" name="QRANDROID">
            <a:extLst>
              <a:ext uri="{FF2B5EF4-FFF2-40B4-BE49-F238E27FC236}">
                <a16:creationId xmlns:a16="http://schemas.microsoft.com/office/drawing/2014/main" id="{00000000-0008-0000-0400-000084010000}"/>
              </a:ext>
            </a:extLst>
          </xdr:cNvPr>
          <xdr:cNvSpPr/>
        </xdr:nvSpPr>
        <xdr:spPr>
          <a:xfrm>
            <a:off x="12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89" name="QRANDROID">
            <a:extLst>
              <a:ext uri="{FF2B5EF4-FFF2-40B4-BE49-F238E27FC236}">
                <a16:creationId xmlns:a16="http://schemas.microsoft.com/office/drawing/2014/main" id="{00000000-0008-0000-0400-000085010000}"/>
              </a:ext>
            </a:extLst>
          </xdr:cNvPr>
          <xdr:cNvSpPr/>
        </xdr:nvSpPr>
        <xdr:spPr>
          <a:xfrm>
            <a:off x="25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90" name="QRANDROID">
            <a:extLst>
              <a:ext uri="{FF2B5EF4-FFF2-40B4-BE49-F238E27FC236}">
                <a16:creationId xmlns:a16="http://schemas.microsoft.com/office/drawing/2014/main" id="{00000000-0008-0000-0400-000086010000}"/>
              </a:ext>
            </a:extLst>
          </xdr:cNvPr>
          <xdr:cNvSpPr/>
        </xdr:nvSpPr>
        <xdr:spPr>
          <a:xfrm>
            <a:off x="508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91" name="QRANDROID">
            <a:extLst>
              <a:ext uri="{FF2B5EF4-FFF2-40B4-BE49-F238E27FC236}">
                <a16:creationId xmlns:a16="http://schemas.microsoft.com/office/drawing/2014/main" id="{00000000-0008-0000-0400-000087010000}"/>
              </a:ext>
            </a:extLst>
          </xdr:cNvPr>
          <xdr:cNvSpPr/>
        </xdr:nvSpPr>
        <xdr:spPr>
          <a:xfrm>
            <a:off x="635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92" name="QRANDROID">
            <a:extLst>
              <a:ext uri="{FF2B5EF4-FFF2-40B4-BE49-F238E27FC236}">
                <a16:creationId xmlns:a16="http://schemas.microsoft.com/office/drawing/2014/main" id="{00000000-0008-0000-0400-000088010000}"/>
              </a:ext>
            </a:extLst>
          </xdr:cNvPr>
          <xdr:cNvSpPr/>
        </xdr:nvSpPr>
        <xdr:spPr>
          <a:xfrm>
            <a:off x="1016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93" name="QRANDROID">
            <a:extLst>
              <a:ext uri="{FF2B5EF4-FFF2-40B4-BE49-F238E27FC236}">
                <a16:creationId xmlns:a16="http://schemas.microsoft.com/office/drawing/2014/main" id="{00000000-0008-0000-0400-000089010000}"/>
              </a:ext>
            </a:extLst>
          </xdr:cNvPr>
          <xdr:cNvSpPr/>
        </xdr:nvSpPr>
        <xdr:spPr>
          <a:xfrm>
            <a:off x="1270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94" name="QRANDROID">
            <a:extLst>
              <a:ext uri="{FF2B5EF4-FFF2-40B4-BE49-F238E27FC236}">
                <a16:creationId xmlns:a16="http://schemas.microsoft.com/office/drawing/2014/main" id="{00000000-0008-0000-0400-00008A010000}"/>
              </a:ext>
            </a:extLst>
          </xdr:cNvPr>
          <xdr:cNvSpPr/>
        </xdr:nvSpPr>
        <xdr:spPr>
          <a:xfrm>
            <a:off x="139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95" name="QRANDROID">
            <a:extLst>
              <a:ext uri="{FF2B5EF4-FFF2-40B4-BE49-F238E27FC236}">
                <a16:creationId xmlns:a16="http://schemas.microsoft.com/office/drawing/2014/main" id="{00000000-0008-0000-0400-00008B010000}"/>
              </a:ext>
            </a:extLst>
          </xdr:cNvPr>
          <xdr:cNvSpPr/>
        </xdr:nvSpPr>
        <xdr:spPr>
          <a:xfrm>
            <a:off x="1905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96" name="QRANDROID">
            <a:extLst>
              <a:ext uri="{FF2B5EF4-FFF2-40B4-BE49-F238E27FC236}">
                <a16:creationId xmlns:a16="http://schemas.microsoft.com/office/drawing/2014/main" id="{00000000-0008-0000-0400-00008C010000}"/>
              </a:ext>
            </a:extLst>
          </xdr:cNvPr>
          <xdr:cNvSpPr/>
        </xdr:nvSpPr>
        <xdr:spPr>
          <a:xfrm>
            <a:off x="2032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97" name="QRANDROID">
            <a:extLst>
              <a:ext uri="{FF2B5EF4-FFF2-40B4-BE49-F238E27FC236}">
                <a16:creationId xmlns:a16="http://schemas.microsoft.com/office/drawing/2014/main" id="{00000000-0008-0000-0400-00008D010000}"/>
              </a:ext>
            </a:extLst>
          </xdr:cNvPr>
          <xdr:cNvSpPr/>
        </xdr:nvSpPr>
        <xdr:spPr>
          <a:xfrm>
            <a:off x="2159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98" name="QRANDROID">
            <a:extLst>
              <a:ext uri="{FF2B5EF4-FFF2-40B4-BE49-F238E27FC236}">
                <a16:creationId xmlns:a16="http://schemas.microsoft.com/office/drawing/2014/main" id="{00000000-0008-0000-0400-00008E010000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99" name="QRANDROID">
            <a:extLst>
              <a:ext uri="{FF2B5EF4-FFF2-40B4-BE49-F238E27FC236}">
                <a16:creationId xmlns:a16="http://schemas.microsoft.com/office/drawing/2014/main" id="{00000000-0008-0000-0400-00008F010000}"/>
              </a:ext>
            </a:extLst>
          </xdr:cNvPr>
          <xdr:cNvSpPr/>
        </xdr:nvSpPr>
        <xdr:spPr>
          <a:xfrm>
            <a:off x="2540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00" name="QRANDROID">
            <a:extLst>
              <a:ext uri="{FF2B5EF4-FFF2-40B4-BE49-F238E27FC236}">
                <a16:creationId xmlns:a16="http://schemas.microsoft.com/office/drawing/2014/main" id="{00000000-0008-0000-0400-000090010000}"/>
              </a:ext>
            </a:extLst>
          </xdr:cNvPr>
          <xdr:cNvSpPr/>
        </xdr:nvSpPr>
        <xdr:spPr>
          <a:xfrm>
            <a:off x="3048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01" name="QRANDROID">
            <a:extLst>
              <a:ext uri="{FF2B5EF4-FFF2-40B4-BE49-F238E27FC236}">
                <a16:creationId xmlns:a16="http://schemas.microsoft.com/office/drawing/2014/main" id="{00000000-0008-0000-0400-000091010000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02" name="QRANDROID">
            <a:extLst>
              <a:ext uri="{FF2B5EF4-FFF2-40B4-BE49-F238E27FC236}">
                <a16:creationId xmlns:a16="http://schemas.microsoft.com/office/drawing/2014/main" id="{00000000-0008-0000-0400-000092010000}"/>
              </a:ext>
            </a:extLst>
          </xdr:cNvPr>
          <xdr:cNvSpPr/>
        </xdr:nvSpPr>
        <xdr:spPr>
          <a:xfrm>
            <a:off x="3556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03" name="QRANDROID">
            <a:extLst>
              <a:ext uri="{FF2B5EF4-FFF2-40B4-BE49-F238E27FC236}">
                <a16:creationId xmlns:a16="http://schemas.microsoft.com/office/drawing/2014/main" id="{00000000-0008-0000-0400-000093010000}"/>
              </a:ext>
            </a:extLst>
          </xdr:cNvPr>
          <xdr:cNvSpPr/>
        </xdr:nvSpPr>
        <xdr:spPr>
          <a:xfrm>
            <a:off x="368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04" name="QRANDROID">
            <a:extLst>
              <a:ext uri="{FF2B5EF4-FFF2-40B4-BE49-F238E27FC236}">
                <a16:creationId xmlns:a16="http://schemas.microsoft.com/office/drawing/2014/main" id="{00000000-0008-0000-0400-000094010000}"/>
              </a:ext>
            </a:extLst>
          </xdr:cNvPr>
          <xdr:cNvSpPr/>
        </xdr:nvSpPr>
        <xdr:spPr>
          <a:xfrm>
            <a:off x="3810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05" name="QRANDROID">
            <a:extLst>
              <a:ext uri="{FF2B5EF4-FFF2-40B4-BE49-F238E27FC236}">
                <a16:creationId xmlns:a16="http://schemas.microsoft.com/office/drawing/2014/main" id="{00000000-0008-0000-0400-000095010000}"/>
              </a:ext>
            </a:extLst>
          </xdr:cNvPr>
          <xdr:cNvSpPr/>
        </xdr:nvSpPr>
        <xdr:spPr>
          <a:xfrm>
            <a:off x="393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06" name="QRANDROID">
            <a:extLst>
              <a:ext uri="{FF2B5EF4-FFF2-40B4-BE49-F238E27FC236}">
                <a16:creationId xmlns:a16="http://schemas.microsoft.com/office/drawing/2014/main" id="{00000000-0008-0000-0400-000096010000}"/>
              </a:ext>
            </a:extLst>
          </xdr:cNvPr>
          <xdr:cNvSpPr/>
        </xdr:nvSpPr>
        <xdr:spPr>
          <a:xfrm>
            <a:off x="4191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07" name="QRANDROID">
            <a:extLst>
              <a:ext uri="{FF2B5EF4-FFF2-40B4-BE49-F238E27FC236}">
                <a16:creationId xmlns:a16="http://schemas.microsoft.com/office/drawing/2014/main" id="{00000000-0008-0000-0400-000097010000}"/>
              </a:ext>
            </a:extLst>
          </xdr:cNvPr>
          <xdr:cNvSpPr/>
        </xdr:nvSpPr>
        <xdr:spPr>
          <a:xfrm>
            <a:off x="4445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08" name="QRANDROID">
            <a:extLst>
              <a:ext uri="{FF2B5EF4-FFF2-40B4-BE49-F238E27FC236}">
                <a16:creationId xmlns:a16="http://schemas.microsoft.com/office/drawing/2014/main" id="{00000000-0008-0000-0400-000098010000}"/>
              </a:ext>
            </a:extLst>
          </xdr:cNvPr>
          <xdr:cNvSpPr/>
        </xdr:nvSpPr>
        <xdr:spPr>
          <a:xfrm>
            <a:off x="12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09" name="QRANDROID">
            <a:extLst>
              <a:ext uri="{FF2B5EF4-FFF2-40B4-BE49-F238E27FC236}">
                <a16:creationId xmlns:a16="http://schemas.microsoft.com/office/drawing/2014/main" id="{00000000-0008-0000-0400-000099010000}"/>
              </a:ext>
            </a:extLst>
          </xdr:cNvPr>
          <xdr:cNvSpPr/>
        </xdr:nvSpPr>
        <xdr:spPr>
          <a:xfrm>
            <a:off x="254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10" name="QRANDROID">
            <a:extLst>
              <a:ext uri="{FF2B5EF4-FFF2-40B4-BE49-F238E27FC236}">
                <a16:creationId xmlns:a16="http://schemas.microsoft.com/office/drawing/2014/main" id="{00000000-0008-0000-0400-00009A010000}"/>
              </a:ext>
            </a:extLst>
          </xdr:cNvPr>
          <xdr:cNvSpPr/>
        </xdr:nvSpPr>
        <xdr:spPr>
          <a:xfrm>
            <a:off x="381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11" name="QRANDROID">
            <a:extLst>
              <a:ext uri="{FF2B5EF4-FFF2-40B4-BE49-F238E27FC236}">
                <a16:creationId xmlns:a16="http://schemas.microsoft.com/office/drawing/2014/main" id="{00000000-0008-0000-0400-00009B010000}"/>
              </a:ext>
            </a:extLst>
          </xdr:cNvPr>
          <xdr:cNvSpPr/>
        </xdr:nvSpPr>
        <xdr:spPr>
          <a:xfrm>
            <a:off x="508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12" name="QRANDROID">
            <a:extLst>
              <a:ext uri="{FF2B5EF4-FFF2-40B4-BE49-F238E27FC236}">
                <a16:creationId xmlns:a16="http://schemas.microsoft.com/office/drawing/2014/main" id="{00000000-0008-0000-0400-00009C010000}"/>
              </a:ext>
            </a:extLst>
          </xdr:cNvPr>
          <xdr:cNvSpPr/>
        </xdr:nvSpPr>
        <xdr:spPr>
          <a:xfrm>
            <a:off x="635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13" name="QRANDROID">
            <a:extLst>
              <a:ext uri="{FF2B5EF4-FFF2-40B4-BE49-F238E27FC236}">
                <a16:creationId xmlns:a16="http://schemas.microsoft.com/office/drawing/2014/main" id="{00000000-0008-0000-0400-00009D010000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14" name="QRANDROID">
            <a:extLst>
              <a:ext uri="{FF2B5EF4-FFF2-40B4-BE49-F238E27FC236}">
                <a16:creationId xmlns:a16="http://schemas.microsoft.com/office/drawing/2014/main" id="{00000000-0008-0000-0400-00009E010000}"/>
              </a:ext>
            </a:extLst>
          </xdr:cNvPr>
          <xdr:cNvSpPr/>
        </xdr:nvSpPr>
        <xdr:spPr>
          <a:xfrm>
            <a:off x="889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15" name="QRANDROID">
            <a:extLst>
              <a:ext uri="{FF2B5EF4-FFF2-40B4-BE49-F238E27FC236}">
                <a16:creationId xmlns:a16="http://schemas.microsoft.com/office/drawing/2014/main" id="{00000000-0008-0000-0400-00009F010000}"/>
              </a:ext>
            </a:extLst>
          </xdr:cNvPr>
          <xdr:cNvSpPr/>
        </xdr:nvSpPr>
        <xdr:spPr>
          <a:xfrm>
            <a:off x="1651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16" name="QRANDROID">
            <a:extLst>
              <a:ext uri="{FF2B5EF4-FFF2-40B4-BE49-F238E27FC236}">
                <a16:creationId xmlns:a16="http://schemas.microsoft.com/office/drawing/2014/main" id="{00000000-0008-0000-0400-0000A0010000}"/>
              </a:ext>
            </a:extLst>
          </xdr:cNvPr>
          <xdr:cNvSpPr/>
        </xdr:nvSpPr>
        <xdr:spPr>
          <a:xfrm>
            <a:off x="1778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17" name="QRANDROID">
            <a:extLst>
              <a:ext uri="{FF2B5EF4-FFF2-40B4-BE49-F238E27FC236}">
                <a16:creationId xmlns:a16="http://schemas.microsoft.com/office/drawing/2014/main" id="{00000000-0008-0000-0400-0000A1010000}"/>
              </a:ext>
            </a:extLst>
          </xdr:cNvPr>
          <xdr:cNvSpPr/>
        </xdr:nvSpPr>
        <xdr:spPr>
          <a:xfrm>
            <a:off x="203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18" name="QRANDROID">
            <a:extLst>
              <a:ext uri="{FF2B5EF4-FFF2-40B4-BE49-F238E27FC236}">
                <a16:creationId xmlns:a16="http://schemas.microsoft.com/office/drawing/2014/main" id="{00000000-0008-0000-0400-0000A2010000}"/>
              </a:ext>
            </a:extLst>
          </xdr:cNvPr>
          <xdr:cNvSpPr/>
        </xdr:nvSpPr>
        <xdr:spPr>
          <a:xfrm>
            <a:off x="2286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19" name="QRANDROID">
            <a:extLst>
              <a:ext uri="{FF2B5EF4-FFF2-40B4-BE49-F238E27FC236}">
                <a16:creationId xmlns:a16="http://schemas.microsoft.com/office/drawing/2014/main" id="{00000000-0008-0000-0400-0000A3010000}"/>
              </a:ext>
            </a:extLst>
          </xdr:cNvPr>
          <xdr:cNvSpPr/>
        </xdr:nvSpPr>
        <xdr:spPr>
          <a:xfrm>
            <a:off x="266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20" name="QRANDROID">
            <a:extLst>
              <a:ext uri="{FF2B5EF4-FFF2-40B4-BE49-F238E27FC236}">
                <a16:creationId xmlns:a16="http://schemas.microsoft.com/office/drawing/2014/main" id="{00000000-0008-0000-0400-0000A4010000}"/>
              </a:ext>
            </a:extLst>
          </xdr:cNvPr>
          <xdr:cNvSpPr/>
        </xdr:nvSpPr>
        <xdr:spPr>
          <a:xfrm>
            <a:off x="3810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21" name="QRANDROID">
            <a:extLst>
              <a:ext uri="{FF2B5EF4-FFF2-40B4-BE49-F238E27FC236}">
                <a16:creationId xmlns:a16="http://schemas.microsoft.com/office/drawing/2014/main" id="{00000000-0008-0000-0400-0000A5010000}"/>
              </a:ext>
            </a:extLst>
          </xdr:cNvPr>
          <xdr:cNvSpPr/>
        </xdr:nvSpPr>
        <xdr:spPr>
          <a:xfrm>
            <a:off x="393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22" name="QRANDROID">
            <a:extLst>
              <a:ext uri="{FF2B5EF4-FFF2-40B4-BE49-F238E27FC236}">
                <a16:creationId xmlns:a16="http://schemas.microsoft.com/office/drawing/2014/main" id="{00000000-0008-0000-0400-0000A6010000}"/>
              </a:ext>
            </a:extLst>
          </xdr:cNvPr>
          <xdr:cNvSpPr/>
        </xdr:nvSpPr>
        <xdr:spPr>
          <a:xfrm>
            <a:off x="4318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23" name="QRANDROID">
            <a:extLst>
              <a:ext uri="{FF2B5EF4-FFF2-40B4-BE49-F238E27FC236}">
                <a16:creationId xmlns:a16="http://schemas.microsoft.com/office/drawing/2014/main" id="{00000000-0008-0000-0400-0000A7010000}"/>
              </a:ext>
            </a:extLst>
          </xdr:cNvPr>
          <xdr:cNvSpPr/>
        </xdr:nvSpPr>
        <xdr:spPr>
          <a:xfrm>
            <a:off x="4445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24" name="QRANDROID">
            <a:extLst>
              <a:ext uri="{FF2B5EF4-FFF2-40B4-BE49-F238E27FC236}">
                <a16:creationId xmlns:a16="http://schemas.microsoft.com/office/drawing/2014/main" id="{00000000-0008-0000-0400-0000A8010000}"/>
              </a:ext>
            </a:extLst>
          </xdr:cNvPr>
          <xdr:cNvSpPr/>
        </xdr:nvSpPr>
        <xdr:spPr>
          <a:xfrm>
            <a:off x="457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25" name="QRANDROID">
            <a:extLst>
              <a:ext uri="{FF2B5EF4-FFF2-40B4-BE49-F238E27FC236}">
                <a16:creationId xmlns:a16="http://schemas.microsoft.com/office/drawing/2014/main" id="{00000000-0008-0000-0400-0000A9010000}"/>
              </a:ext>
            </a:extLst>
          </xdr:cNvPr>
          <xdr:cNvSpPr/>
        </xdr:nvSpPr>
        <xdr:spPr>
          <a:xfrm>
            <a:off x="254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26" name="QRANDROID">
            <a:extLst>
              <a:ext uri="{FF2B5EF4-FFF2-40B4-BE49-F238E27FC236}">
                <a16:creationId xmlns:a16="http://schemas.microsoft.com/office/drawing/2014/main" id="{00000000-0008-0000-0400-0000AA010000}"/>
              </a:ext>
            </a:extLst>
          </xdr:cNvPr>
          <xdr:cNvSpPr/>
        </xdr:nvSpPr>
        <xdr:spPr>
          <a:xfrm>
            <a:off x="635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27" name="QRANDROID">
            <a:extLst>
              <a:ext uri="{FF2B5EF4-FFF2-40B4-BE49-F238E27FC236}">
                <a16:creationId xmlns:a16="http://schemas.microsoft.com/office/drawing/2014/main" id="{00000000-0008-0000-0400-0000AB010000}"/>
              </a:ext>
            </a:extLst>
          </xdr:cNvPr>
          <xdr:cNvSpPr/>
        </xdr:nvSpPr>
        <xdr:spPr>
          <a:xfrm>
            <a:off x="889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28" name="QRANDROID">
            <a:extLst>
              <a:ext uri="{FF2B5EF4-FFF2-40B4-BE49-F238E27FC236}">
                <a16:creationId xmlns:a16="http://schemas.microsoft.com/office/drawing/2014/main" id="{00000000-0008-0000-0400-0000AC010000}"/>
              </a:ext>
            </a:extLst>
          </xdr:cNvPr>
          <xdr:cNvSpPr/>
        </xdr:nvSpPr>
        <xdr:spPr>
          <a:xfrm>
            <a:off x="1524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29" name="QRANDROID">
            <a:extLst>
              <a:ext uri="{FF2B5EF4-FFF2-40B4-BE49-F238E27FC236}">
                <a16:creationId xmlns:a16="http://schemas.microsoft.com/office/drawing/2014/main" id="{00000000-0008-0000-0400-0000AD010000}"/>
              </a:ext>
            </a:extLst>
          </xdr:cNvPr>
          <xdr:cNvSpPr/>
        </xdr:nvSpPr>
        <xdr:spPr>
          <a:xfrm>
            <a:off x="1651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30" name="QRANDROID">
            <a:extLst>
              <a:ext uri="{FF2B5EF4-FFF2-40B4-BE49-F238E27FC236}">
                <a16:creationId xmlns:a16="http://schemas.microsoft.com/office/drawing/2014/main" id="{00000000-0008-0000-0400-0000AE010000}"/>
              </a:ext>
            </a:extLst>
          </xdr:cNvPr>
          <xdr:cNvSpPr/>
        </xdr:nvSpPr>
        <xdr:spPr>
          <a:xfrm>
            <a:off x="1778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31" name="QRANDROID">
            <a:extLst>
              <a:ext uri="{FF2B5EF4-FFF2-40B4-BE49-F238E27FC236}">
                <a16:creationId xmlns:a16="http://schemas.microsoft.com/office/drawing/2014/main" id="{00000000-0008-0000-0400-0000AF010000}"/>
              </a:ext>
            </a:extLst>
          </xdr:cNvPr>
          <xdr:cNvSpPr/>
        </xdr:nvSpPr>
        <xdr:spPr>
          <a:xfrm>
            <a:off x="2032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32" name="QRANDROID">
            <a:extLst>
              <a:ext uri="{FF2B5EF4-FFF2-40B4-BE49-F238E27FC236}">
                <a16:creationId xmlns:a16="http://schemas.microsoft.com/office/drawing/2014/main" id="{00000000-0008-0000-0400-0000B0010000}"/>
              </a:ext>
            </a:extLst>
          </xdr:cNvPr>
          <xdr:cNvSpPr/>
        </xdr:nvSpPr>
        <xdr:spPr>
          <a:xfrm>
            <a:off x="2159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33" name="QRANDROID">
            <a:extLst>
              <a:ext uri="{FF2B5EF4-FFF2-40B4-BE49-F238E27FC236}">
                <a16:creationId xmlns:a16="http://schemas.microsoft.com/office/drawing/2014/main" id="{00000000-0008-0000-0400-0000B1010000}"/>
              </a:ext>
            </a:extLst>
          </xdr:cNvPr>
          <xdr:cNvSpPr/>
        </xdr:nvSpPr>
        <xdr:spPr>
          <a:xfrm>
            <a:off x="2286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34" name="QRANDROID">
            <a:extLst>
              <a:ext uri="{FF2B5EF4-FFF2-40B4-BE49-F238E27FC236}">
                <a16:creationId xmlns:a16="http://schemas.microsoft.com/office/drawing/2014/main" id="{00000000-0008-0000-0400-0000B2010000}"/>
              </a:ext>
            </a:extLst>
          </xdr:cNvPr>
          <xdr:cNvSpPr/>
        </xdr:nvSpPr>
        <xdr:spPr>
          <a:xfrm>
            <a:off x="2413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35" name="QRANDROID">
            <a:extLst>
              <a:ext uri="{FF2B5EF4-FFF2-40B4-BE49-F238E27FC236}">
                <a16:creationId xmlns:a16="http://schemas.microsoft.com/office/drawing/2014/main" id="{00000000-0008-0000-0400-0000B3010000}"/>
              </a:ext>
            </a:extLst>
          </xdr:cNvPr>
          <xdr:cNvSpPr/>
        </xdr:nvSpPr>
        <xdr:spPr>
          <a:xfrm>
            <a:off x="2667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36" name="QRANDROID">
            <a:extLst>
              <a:ext uri="{FF2B5EF4-FFF2-40B4-BE49-F238E27FC236}">
                <a16:creationId xmlns:a16="http://schemas.microsoft.com/office/drawing/2014/main" id="{00000000-0008-0000-0400-0000B4010000}"/>
              </a:ext>
            </a:extLst>
          </xdr:cNvPr>
          <xdr:cNvSpPr/>
        </xdr:nvSpPr>
        <xdr:spPr>
          <a:xfrm>
            <a:off x="3175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37" name="QRANDROID">
            <a:extLst>
              <a:ext uri="{FF2B5EF4-FFF2-40B4-BE49-F238E27FC236}">
                <a16:creationId xmlns:a16="http://schemas.microsoft.com/office/drawing/2014/main" id="{00000000-0008-0000-0400-0000B5010000}"/>
              </a:ext>
            </a:extLst>
          </xdr:cNvPr>
          <xdr:cNvSpPr/>
        </xdr:nvSpPr>
        <xdr:spPr>
          <a:xfrm>
            <a:off x="3302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38" name="QRANDROID">
            <a:extLst>
              <a:ext uri="{FF2B5EF4-FFF2-40B4-BE49-F238E27FC236}">
                <a16:creationId xmlns:a16="http://schemas.microsoft.com/office/drawing/2014/main" id="{00000000-0008-0000-0400-0000B6010000}"/>
              </a:ext>
            </a:extLst>
          </xdr:cNvPr>
          <xdr:cNvSpPr/>
        </xdr:nvSpPr>
        <xdr:spPr>
          <a:xfrm>
            <a:off x="3429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39" name="QRANDROID">
            <a:extLst>
              <a:ext uri="{FF2B5EF4-FFF2-40B4-BE49-F238E27FC236}">
                <a16:creationId xmlns:a16="http://schemas.microsoft.com/office/drawing/2014/main" id="{00000000-0008-0000-0400-0000B7010000}"/>
              </a:ext>
            </a:extLst>
          </xdr:cNvPr>
          <xdr:cNvSpPr/>
        </xdr:nvSpPr>
        <xdr:spPr>
          <a:xfrm>
            <a:off x="3683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40" name="QRANDROID">
            <a:extLst>
              <a:ext uri="{FF2B5EF4-FFF2-40B4-BE49-F238E27FC236}">
                <a16:creationId xmlns:a16="http://schemas.microsoft.com/office/drawing/2014/main" id="{00000000-0008-0000-0400-0000B8010000}"/>
              </a:ext>
            </a:extLst>
          </xdr:cNvPr>
          <xdr:cNvSpPr/>
        </xdr:nvSpPr>
        <xdr:spPr>
          <a:xfrm>
            <a:off x="4064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41" name="QRANDROID">
            <a:extLst>
              <a:ext uri="{FF2B5EF4-FFF2-40B4-BE49-F238E27FC236}">
                <a16:creationId xmlns:a16="http://schemas.microsoft.com/office/drawing/2014/main" id="{00000000-0008-0000-0400-0000B9010000}"/>
              </a:ext>
            </a:extLst>
          </xdr:cNvPr>
          <xdr:cNvSpPr/>
        </xdr:nvSpPr>
        <xdr:spPr>
          <a:xfrm>
            <a:off x="508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42" name="QRANDROID">
            <a:extLst>
              <a:ext uri="{FF2B5EF4-FFF2-40B4-BE49-F238E27FC236}">
                <a16:creationId xmlns:a16="http://schemas.microsoft.com/office/drawing/2014/main" id="{00000000-0008-0000-0400-0000BA010000}"/>
              </a:ext>
            </a:extLst>
          </xdr:cNvPr>
          <xdr:cNvSpPr/>
        </xdr:nvSpPr>
        <xdr:spPr>
          <a:xfrm>
            <a:off x="63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43" name="QRANDROID">
            <a:extLst>
              <a:ext uri="{FF2B5EF4-FFF2-40B4-BE49-F238E27FC236}">
                <a16:creationId xmlns:a16="http://schemas.microsoft.com/office/drawing/2014/main" id="{00000000-0008-0000-0400-0000BB010000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44" name="QRANDROID">
            <a:extLst>
              <a:ext uri="{FF2B5EF4-FFF2-40B4-BE49-F238E27FC236}">
                <a16:creationId xmlns:a16="http://schemas.microsoft.com/office/drawing/2014/main" id="{00000000-0008-0000-0400-0000BC010000}"/>
              </a:ext>
            </a:extLst>
          </xdr:cNvPr>
          <xdr:cNvSpPr/>
        </xdr:nvSpPr>
        <xdr:spPr>
          <a:xfrm>
            <a:off x="88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45" name="QRANDROID">
            <a:extLst>
              <a:ext uri="{FF2B5EF4-FFF2-40B4-BE49-F238E27FC236}">
                <a16:creationId xmlns:a16="http://schemas.microsoft.com/office/drawing/2014/main" id="{00000000-0008-0000-0400-0000BD010000}"/>
              </a:ext>
            </a:extLst>
          </xdr:cNvPr>
          <xdr:cNvSpPr/>
        </xdr:nvSpPr>
        <xdr:spPr>
          <a:xfrm>
            <a:off x="1016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46" name="QRANDROID">
            <a:extLst>
              <a:ext uri="{FF2B5EF4-FFF2-40B4-BE49-F238E27FC236}">
                <a16:creationId xmlns:a16="http://schemas.microsoft.com/office/drawing/2014/main" id="{00000000-0008-0000-0400-0000BE010000}"/>
              </a:ext>
            </a:extLst>
          </xdr:cNvPr>
          <xdr:cNvSpPr/>
        </xdr:nvSpPr>
        <xdr:spPr>
          <a:xfrm>
            <a:off x="1397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47" name="QRANDROID">
            <a:extLst>
              <a:ext uri="{FF2B5EF4-FFF2-40B4-BE49-F238E27FC236}">
                <a16:creationId xmlns:a16="http://schemas.microsoft.com/office/drawing/2014/main" id="{00000000-0008-0000-0400-0000BF010000}"/>
              </a:ext>
            </a:extLst>
          </xdr:cNvPr>
          <xdr:cNvSpPr/>
        </xdr:nvSpPr>
        <xdr:spPr>
          <a:xfrm>
            <a:off x="152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48" name="QRANDROID">
            <a:extLst>
              <a:ext uri="{FF2B5EF4-FFF2-40B4-BE49-F238E27FC236}">
                <a16:creationId xmlns:a16="http://schemas.microsoft.com/office/drawing/2014/main" id="{00000000-0008-0000-0400-0000C0010000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49" name="QRANDROID">
            <a:extLst>
              <a:ext uri="{FF2B5EF4-FFF2-40B4-BE49-F238E27FC236}">
                <a16:creationId xmlns:a16="http://schemas.microsoft.com/office/drawing/2014/main" id="{00000000-0008-0000-0400-0000C1010000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50" name="QRANDROID">
            <a:extLst>
              <a:ext uri="{FF2B5EF4-FFF2-40B4-BE49-F238E27FC236}">
                <a16:creationId xmlns:a16="http://schemas.microsoft.com/office/drawing/2014/main" id="{00000000-0008-0000-0400-0000C2010000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51" name="QRANDROID">
            <a:extLst>
              <a:ext uri="{FF2B5EF4-FFF2-40B4-BE49-F238E27FC236}">
                <a16:creationId xmlns:a16="http://schemas.microsoft.com/office/drawing/2014/main" id="{00000000-0008-0000-0400-0000C3010000}"/>
              </a:ext>
            </a:extLst>
          </xdr:cNvPr>
          <xdr:cNvSpPr/>
        </xdr:nvSpPr>
        <xdr:spPr>
          <a:xfrm>
            <a:off x="3683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52" name="QRANDROID">
            <a:extLst>
              <a:ext uri="{FF2B5EF4-FFF2-40B4-BE49-F238E27FC236}">
                <a16:creationId xmlns:a16="http://schemas.microsoft.com/office/drawing/2014/main" id="{00000000-0008-0000-0400-0000C4010000}"/>
              </a:ext>
            </a:extLst>
          </xdr:cNvPr>
          <xdr:cNvSpPr/>
        </xdr:nvSpPr>
        <xdr:spPr>
          <a:xfrm>
            <a:off x="3810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53" name="QRANDROID">
            <a:extLst>
              <a:ext uri="{FF2B5EF4-FFF2-40B4-BE49-F238E27FC236}">
                <a16:creationId xmlns:a16="http://schemas.microsoft.com/office/drawing/2014/main" id="{00000000-0008-0000-0400-0000C5010000}"/>
              </a:ext>
            </a:extLst>
          </xdr:cNvPr>
          <xdr:cNvSpPr/>
        </xdr:nvSpPr>
        <xdr:spPr>
          <a:xfrm>
            <a:off x="406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54" name="QRANDROID">
            <a:extLst>
              <a:ext uri="{FF2B5EF4-FFF2-40B4-BE49-F238E27FC236}">
                <a16:creationId xmlns:a16="http://schemas.microsoft.com/office/drawing/2014/main" id="{00000000-0008-0000-0400-0000C6010000}"/>
              </a:ext>
            </a:extLst>
          </xdr:cNvPr>
          <xdr:cNvSpPr/>
        </xdr:nvSpPr>
        <xdr:spPr>
          <a:xfrm>
            <a:off x="419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55" name="QRANDROID">
            <a:extLst>
              <a:ext uri="{FF2B5EF4-FFF2-40B4-BE49-F238E27FC236}">
                <a16:creationId xmlns:a16="http://schemas.microsoft.com/office/drawing/2014/main" id="{00000000-0008-0000-0400-0000C7010000}"/>
              </a:ext>
            </a:extLst>
          </xdr:cNvPr>
          <xdr:cNvSpPr/>
        </xdr:nvSpPr>
        <xdr:spPr>
          <a:xfrm>
            <a:off x="444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56" name="QRANDROID">
            <a:extLst>
              <a:ext uri="{FF2B5EF4-FFF2-40B4-BE49-F238E27FC236}">
                <a16:creationId xmlns:a16="http://schemas.microsoft.com/office/drawing/2014/main" id="{00000000-0008-0000-0400-0000C8010000}"/>
              </a:ext>
            </a:extLst>
          </xdr:cNvPr>
          <xdr:cNvSpPr/>
        </xdr:nvSpPr>
        <xdr:spPr>
          <a:xfrm>
            <a:off x="127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57" name="QRANDROID">
            <a:extLst>
              <a:ext uri="{FF2B5EF4-FFF2-40B4-BE49-F238E27FC236}">
                <a16:creationId xmlns:a16="http://schemas.microsoft.com/office/drawing/2014/main" id="{00000000-0008-0000-0400-0000C9010000}"/>
              </a:ext>
            </a:extLst>
          </xdr:cNvPr>
          <xdr:cNvSpPr/>
        </xdr:nvSpPr>
        <xdr:spPr>
          <a:xfrm>
            <a:off x="25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58" name="QRANDROID">
            <a:extLst>
              <a:ext uri="{FF2B5EF4-FFF2-40B4-BE49-F238E27FC236}">
                <a16:creationId xmlns:a16="http://schemas.microsoft.com/office/drawing/2014/main" id="{00000000-0008-0000-0400-0000CA010000}"/>
              </a:ext>
            </a:extLst>
          </xdr:cNvPr>
          <xdr:cNvSpPr/>
        </xdr:nvSpPr>
        <xdr:spPr>
          <a:xfrm>
            <a:off x="381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59" name="QRANDROID">
            <a:extLst>
              <a:ext uri="{FF2B5EF4-FFF2-40B4-BE49-F238E27FC236}">
                <a16:creationId xmlns:a16="http://schemas.microsoft.com/office/drawing/2014/main" id="{00000000-0008-0000-0400-0000CB010000}"/>
              </a:ext>
            </a:extLst>
          </xdr:cNvPr>
          <xdr:cNvSpPr/>
        </xdr:nvSpPr>
        <xdr:spPr>
          <a:xfrm>
            <a:off x="508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60" name="QRANDROID">
            <a:extLst>
              <a:ext uri="{FF2B5EF4-FFF2-40B4-BE49-F238E27FC236}">
                <a16:creationId xmlns:a16="http://schemas.microsoft.com/office/drawing/2014/main" id="{00000000-0008-0000-0400-0000CC010000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61" name="QRANDROID">
            <a:extLst>
              <a:ext uri="{FF2B5EF4-FFF2-40B4-BE49-F238E27FC236}">
                <a16:creationId xmlns:a16="http://schemas.microsoft.com/office/drawing/2014/main" id="{00000000-0008-0000-0400-0000CD010000}"/>
              </a:ext>
            </a:extLst>
          </xdr:cNvPr>
          <xdr:cNvSpPr/>
        </xdr:nvSpPr>
        <xdr:spPr>
          <a:xfrm>
            <a:off x="1397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62" name="QRANDROID">
            <a:extLst>
              <a:ext uri="{FF2B5EF4-FFF2-40B4-BE49-F238E27FC236}">
                <a16:creationId xmlns:a16="http://schemas.microsoft.com/office/drawing/2014/main" id="{00000000-0008-0000-0400-0000CE010000}"/>
              </a:ext>
            </a:extLst>
          </xdr:cNvPr>
          <xdr:cNvSpPr/>
        </xdr:nvSpPr>
        <xdr:spPr>
          <a:xfrm>
            <a:off x="152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63" name="QRANDROID">
            <a:extLst>
              <a:ext uri="{FF2B5EF4-FFF2-40B4-BE49-F238E27FC236}">
                <a16:creationId xmlns:a16="http://schemas.microsoft.com/office/drawing/2014/main" id="{00000000-0008-0000-0400-0000CF010000}"/>
              </a:ext>
            </a:extLst>
          </xdr:cNvPr>
          <xdr:cNvSpPr/>
        </xdr:nvSpPr>
        <xdr:spPr>
          <a:xfrm>
            <a:off x="1778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64" name="QRANDROID">
            <a:extLst>
              <a:ext uri="{FF2B5EF4-FFF2-40B4-BE49-F238E27FC236}">
                <a16:creationId xmlns:a16="http://schemas.microsoft.com/office/drawing/2014/main" id="{00000000-0008-0000-0400-0000D0010000}"/>
              </a:ext>
            </a:extLst>
          </xdr:cNvPr>
          <xdr:cNvSpPr/>
        </xdr:nvSpPr>
        <xdr:spPr>
          <a:xfrm>
            <a:off x="2032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65" name="QRANDROID">
            <a:extLst>
              <a:ext uri="{FF2B5EF4-FFF2-40B4-BE49-F238E27FC236}">
                <a16:creationId xmlns:a16="http://schemas.microsoft.com/office/drawing/2014/main" id="{00000000-0008-0000-0400-0000D1010000}"/>
              </a:ext>
            </a:extLst>
          </xdr:cNvPr>
          <xdr:cNvSpPr/>
        </xdr:nvSpPr>
        <xdr:spPr>
          <a:xfrm>
            <a:off x="2159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66" name="QRANDROID">
            <a:extLst>
              <a:ext uri="{FF2B5EF4-FFF2-40B4-BE49-F238E27FC236}">
                <a16:creationId xmlns:a16="http://schemas.microsoft.com/office/drawing/2014/main" id="{00000000-0008-0000-0400-0000D2010000}"/>
              </a:ext>
            </a:extLst>
          </xdr:cNvPr>
          <xdr:cNvSpPr/>
        </xdr:nvSpPr>
        <xdr:spPr>
          <a:xfrm>
            <a:off x="228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67" name="QRANDROID">
            <a:extLst>
              <a:ext uri="{FF2B5EF4-FFF2-40B4-BE49-F238E27FC236}">
                <a16:creationId xmlns:a16="http://schemas.microsoft.com/office/drawing/2014/main" id="{00000000-0008-0000-0400-0000D3010000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68" name="QRANDROID">
            <a:extLst>
              <a:ext uri="{FF2B5EF4-FFF2-40B4-BE49-F238E27FC236}">
                <a16:creationId xmlns:a16="http://schemas.microsoft.com/office/drawing/2014/main" id="{00000000-0008-0000-0400-0000D4010000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69" name="QRANDROID">
            <a:extLst>
              <a:ext uri="{FF2B5EF4-FFF2-40B4-BE49-F238E27FC236}">
                <a16:creationId xmlns:a16="http://schemas.microsoft.com/office/drawing/2014/main" id="{00000000-0008-0000-0400-0000D5010000}"/>
              </a:ext>
            </a:extLst>
          </xdr:cNvPr>
          <xdr:cNvSpPr/>
        </xdr:nvSpPr>
        <xdr:spPr>
          <a:xfrm>
            <a:off x="2921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70" name="QRANDROID">
            <a:extLst>
              <a:ext uri="{FF2B5EF4-FFF2-40B4-BE49-F238E27FC236}">
                <a16:creationId xmlns:a16="http://schemas.microsoft.com/office/drawing/2014/main" id="{00000000-0008-0000-0400-0000D6010000}"/>
              </a:ext>
            </a:extLst>
          </xdr:cNvPr>
          <xdr:cNvSpPr/>
        </xdr:nvSpPr>
        <xdr:spPr>
          <a:xfrm>
            <a:off x="3048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71" name="QRANDROID">
            <a:extLst>
              <a:ext uri="{FF2B5EF4-FFF2-40B4-BE49-F238E27FC236}">
                <a16:creationId xmlns:a16="http://schemas.microsoft.com/office/drawing/2014/main" id="{00000000-0008-0000-0400-0000D7010000}"/>
              </a:ext>
            </a:extLst>
          </xdr:cNvPr>
          <xdr:cNvSpPr/>
        </xdr:nvSpPr>
        <xdr:spPr>
          <a:xfrm>
            <a:off x="3175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72" name="QRANDROID">
            <a:extLst>
              <a:ext uri="{FF2B5EF4-FFF2-40B4-BE49-F238E27FC236}">
                <a16:creationId xmlns:a16="http://schemas.microsoft.com/office/drawing/2014/main" id="{00000000-0008-0000-0400-0000D8010000}"/>
              </a:ext>
            </a:extLst>
          </xdr:cNvPr>
          <xdr:cNvSpPr/>
        </xdr:nvSpPr>
        <xdr:spPr>
          <a:xfrm>
            <a:off x="3683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73" name="QRANDROID">
            <a:extLst>
              <a:ext uri="{FF2B5EF4-FFF2-40B4-BE49-F238E27FC236}">
                <a16:creationId xmlns:a16="http://schemas.microsoft.com/office/drawing/2014/main" id="{00000000-0008-0000-0400-0000D9010000}"/>
              </a:ext>
            </a:extLst>
          </xdr:cNvPr>
          <xdr:cNvSpPr/>
        </xdr:nvSpPr>
        <xdr:spPr>
          <a:xfrm>
            <a:off x="4191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74" name="QRANDROID">
            <a:extLst>
              <a:ext uri="{FF2B5EF4-FFF2-40B4-BE49-F238E27FC236}">
                <a16:creationId xmlns:a16="http://schemas.microsoft.com/office/drawing/2014/main" id="{00000000-0008-0000-0400-0000DA010000}"/>
              </a:ext>
            </a:extLst>
          </xdr:cNvPr>
          <xdr:cNvSpPr/>
        </xdr:nvSpPr>
        <xdr:spPr>
          <a:xfrm>
            <a:off x="4445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75" name="QRANDROID">
            <a:extLst>
              <a:ext uri="{FF2B5EF4-FFF2-40B4-BE49-F238E27FC236}">
                <a16:creationId xmlns:a16="http://schemas.microsoft.com/office/drawing/2014/main" id="{00000000-0008-0000-0400-0000DB010000}"/>
              </a:ext>
            </a:extLst>
          </xdr:cNvPr>
          <xdr:cNvSpPr/>
        </xdr:nvSpPr>
        <xdr:spPr>
          <a:xfrm>
            <a:off x="4572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76" name="QRANDROID">
            <a:extLst>
              <a:ext uri="{FF2B5EF4-FFF2-40B4-BE49-F238E27FC236}">
                <a16:creationId xmlns:a16="http://schemas.microsoft.com/office/drawing/2014/main" id="{00000000-0008-0000-0400-0000DC010000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77" name="QRANDROID">
            <a:extLst>
              <a:ext uri="{FF2B5EF4-FFF2-40B4-BE49-F238E27FC236}">
                <a16:creationId xmlns:a16="http://schemas.microsoft.com/office/drawing/2014/main" id="{00000000-0008-0000-0400-0000DD010000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78" name="QRANDROID">
            <a:extLst>
              <a:ext uri="{FF2B5EF4-FFF2-40B4-BE49-F238E27FC236}">
                <a16:creationId xmlns:a16="http://schemas.microsoft.com/office/drawing/2014/main" id="{00000000-0008-0000-0400-0000DE010000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79" name="QRANDROID">
            <a:extLst>
              <a:ext uri="{FF2B5EF4-FFF2-40B4-BE49-F238E27FC236}">
                <a16:creationId xmlns:a16="http://schemas.microsoft.com/office/drawing/2014/main" id="{00000000-0008-0000-0400-0000DF010000}"/>
              </a:ext>
            </a:extLst>
          </xdr:cNvPr>
          <xdr:cNvSpPr/>
        </xdr:nvSpPr>
        <xdr:spPr>
          <a:xfrm>
            <a:off x="101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80" name="QRANDROID">
            <a:extLst>
              <a:ext uri="{FF2B5EF4-FFF2-40B4-BE49-F238E27FC236}">
                <a16:creationId xmlns:a16="http://schemas.microsoft.com/office/drawing/2014/main" id="{00000000-0008-0000-0400-0000E0010000}"/>
              </a:ext>
            </a:extLst>
          </xdr:cNvPr>
          <xdr:cNvSpPr/>
        </xdr:nvSpPr>
        <xdr:spPr>
          <a:xfrm>
            <a:off x="1143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81" name="QRANDROID">
            <a:extLst>
              <a:ext uri="{FF2B5EF4-FFF2-40B4-BE49-F238E27FC236}">
                <a16:creationId xmlns:a16="http://schemas.microsoft.com/office/drawing/2014/main" id="{00000000-0008-0000-0400-0000E1010000}"/>
              </a:ext>
            </a:extLst>
          </xdr:cNvPr>
          <xdr:cNvSpPr/>
        </xdr:nvSpPr>
        <xdr:spPr>
          <a:xfrm>
            <a:off x="1270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82" name="QRANDROID">
            <a:extLst>
              <a:ext uri="{FF2B5EF4-FFF2-40B4-BE49-F238E27FC236}">
                <a16:creationId xmlns:a16="http://schemas.microsoft.com/office/drawing/2014/main" id="{00000000-0008-0000-0400-0000E2010000}"/>
              </a:ext>
            </a:extLst>
          </xdr:cNvPr>
          <xdr:cNvSpPr/>
        </xdr:nvSpPr>
        <xdr:spPr>
          <a:xfrm>
            <a:off x="177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83" name="QRANDROID">
            <a:extLst>
              <a:ext uri="{FF2B5EF4-FFF2-40B4-BE49-F238E27FC236}">
                <a16:creationId xmlns:a16="http://schemas.microsoft.com/office/drawing/2014/main" id="{00000000-0008-0000-0400-0000E3010000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84" name="QRANDROID">
            <a:extLst>
              <a:ext uri="{FF2B5EF4-FFF2-40B4-BE49-F238E27FC236}">
                <a16:creationId xmlns:a16="http://schemas.microsoft.com/office/drawing/2014/main" id="{00000000-0008-0000-0400-0000E4010000}"/>
              </a:ext>
            </a:extLst>
          </xdr:cNvPr>
          <xdr:cNvSpPr/>
        </xdr:nvSpPr>
        <xdr:spPr>
          <a:xfrm>
            <a:off x="228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85" name="QRANDROID">
            <a:extLst>
              <a:ext uri="{FF2B5EF4-FFF2-40B4-BE49-F238E27FC236}">
                <a16:creationId xmlns:a16="http://schemas.microsoft.com/office/drawing/2014/main" id="{00000000-0008-0000-0400-0000E5010000}"/>
              </a:ext>
            </a:extLst>
          </xdr:cNvPr>
          <xdr:cNvSpPr/>
        </xdr:nvSpPr>
        <xdr:spPr>
          <a:xfrm>
            <a:off x="2540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86" name="QRANDROID">
            <a:extLst>
              <a:ext uri="{FF2B5EF4-FFF2-40B4-BE49-F238E27FC236}">
                <a16:creationId xmlns:a16="http://schemas.microsoft.com/office/drawing/2014/main" id="{00000000-0008-0000-0400-0000E6010000}"/>
              </a:ext>
            </a:extLst>
          </xdr:cNvPr>
          <xdr:cNvSpPr/>
        </xdr:nvSpPr>
        <xdr:spPr>
          <a:xfrm>
            <a:off x="317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87" name="QRANDROID">
            <a:extLst>
              <a:ext uri="{FF2B5EF4-FFF2-40B4-BE49-F238E27FC236}">
                <a16:creationId xmlns:a16="http://schemas.microsoft.com/office/drawing/2014/main" id="{00000000-0008-0000-0400-0000E7010000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88" name="QRANDROID">
            <a:extLst>
              <a:ext uri="{FF2B5EF4-FFF2-40B4-BE49-F238E27FC236}">
                <a16:creationId xmlns:a16="http://schemas.microsoft.com/office/drawing/2014/main" id="{00000000-0008-0000-0400-0000E8010000}"/>
              </a:ext>
            </a:extLst>
          </xdr:cNvPr>
          <xdr:cNvSpPr/>
        </xdr:nvSpPr>
        <xdr:spPr>
          <a:xfrm>
            <a:off x="3810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89" name="QRANDROID">
            <a:extLst>
              <a:ext uri="{FF2B5EF4-FFF2-40B4-BE49-F238E27FC236}">
                <a16:creationId xmlns:a16="http://schemas.microsoft.com/office/drawing/2014/main" id="{00000000-0008-0000-0400-0000E9010000}"/>
              </a:ext>
            </a:extLst>
          </xdr:cNvPr>
          <xdr:cNvSpPr/>
        </xdr:nvSpPr>
        <xdr:spPr>
          <a:xfrm>
            <a:off x="419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90" name="QRANDROID">
            <a:extLst>
              <a:ext uri="{FF2B5EF4-FFF2-40B4-BE49-F238E27FC236}">
                <a16:creationId xmlns:a16="http://schemas.microsoft.com/office/drawing/2014/main" id="{00000000-0008-0000-0400-0000EA010000}"/>
              </a:ext>
            </a:extLst>
          </xdr:cNvPr>
          <xdr:cNvSpPr/>
        </xdr:nvSpPr>
        <xdr:spPr>
          <a:xfrm>
            <a:off x="444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91" name="QRANDROID">
            <a:extLst>
              <a:ext uri="{FF2B5EF4-FFF2-40B4-BE49-F238E27FC236}">
                <a16:creationId xmlns:a16="http://schemas.microsoft.com/office/drawing/2014/main" id="{00000000-0008-0000-0400-0000EB010000}"/>
              </a:ext>
            </a:extLst>
          </xdr:cNvPr>
          <xdr:cNvSpPr/>
        </xdr:nvSpPr>
        <xdr:spPr>
          <a:xfrm>
            <a:off x="457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92" name="QRANDROID">
            <a:extLst>
              <a:ext uri="{FF2B5EF4-FFF2-40B4-BE49-F238E27FC236}">
                <a16:creationId xmlns:a16="http://schemas.microsoft.com/office/drawing/2014/main" id="{00000000-0008-0000-0400-0000EC010000}"/>
              </a:ext>
            </a:extLst>
          </xdr:cNvPr>
          <xdr:cNvSpPr/>
        </xdr:nvSpPr>
        <xdr:spPr>
          <a:xfrm>
            <a:off x="12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93" name="QRANDROID">
            <a:extLst>
              <a:ext uri="{FF2B5EF4-FFF2-40B4-BE49-F238E27FC236}">
                <a16:creationId xmlns:a16="http://schemas.microsoft.com/office/drawing/2014/main" id="{00000000-0008-0000-0400-0000ED010000}"/>
              </a:ext>
            </a:extLst>
          </xdr:cNvPr>
          <xdr:cNvSpPr/>
        </xdr:nvSpPr>
        <xdr:spPr>
          <a:xfrm>
            <a:off x="381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94" name="QRANDROID">
            <a:extLst>
              <a:ext uri="{FF2B5EF4-FFF2-40B4-BE49-F238E27FC236}">
                <a16:creationId xmlns:a16="http://schemas.microsoft.com/office/drawing/2014/main" id="{00000000-0008-0000-0400-0000EE010000}"/>
              </a:ext>
            </a:extLst>
          </xdr:cNvPr>
          <xdr:cNvSpPr/>
        </xdr:nvSpPr>
        <xdr:spPr>
          <a:xfrm>
            <a:off x="635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95" name="QRANDROID">
            <a:extLst>
              <a:ext uri="{FF2B5EF4-FFF2-40B4-BE49-F238E27FC236}">
                <a16:creationId xmlns:a16="http://schemas.microsoft.com/office/drawing/2014/main" id="{00000000-0008-0000-0400-0000EF010000}"/>
              </a:ext>
            </a:extLst>
          </xdr:cNvPr>
          <xdr:cNvSpPr/>
        </xdr:nvSpPr>
        <xdr:spPr>
          <a:xfrm>
            <a:off x="889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96" name="QRANDROID">
            <a:extLst>
              <a:ext uri="{FF2B5EF4-FFF2-40B4-BE49-F238E27FC236}">
                <a16:creationId xmlns:a16="http://schemas.microsoft.com/office/drawing/2014/main" id="{00000000-0008-0000-0400-0000F0010000}"/>
              </a:ext>
            </a:extLst>
          </xdr:cNvPr>
          <xdr:cNvSpPr/>
        </xdr:nvSpPr>
        <xdr:spPr>
          <a:xfrm>
            <a:off x="1524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97" name="QRANDROID">
            <a:extLst>
              <a:ext uri="{FF2B5EF4-FFF2-40B4-BE49-F238E27FC236}">
                <a16:creationId xmlns:a16="http://schemas.microsoft.com/office/drawing/2014/main" id="{00000000-0008-0000-0400-0000F1010000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98" name="QRANDROID">
            <a:extLst>
              <a:ext uri="{FF2B5EF4-FFF2-40B4-BE49-F238E27FC236}">
                <a16:creationId xmlns:a16="http://schemas.microsoft.com/office/drawing/2014/main" id="{00000000-0008-0000-0400-0000F2010000}"/>
              </a:ext>
            </a:extLst>
          </xdr:cNvPr>
          <xdr:cNvSpPr/>
        </xdr:nvSpPr>
        <xdr:spPr>
          <a:xfrm>
            <a:off x="2159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99" name="QRANDROID">
            <a:extLst>
              <a:ext uri="{FF2B5EF4-FFF2-40B4-BE49-F238E27FC236}">
                <a16:creationId xmlns:a16="http://schemas.microsoft.com/office/drawing/2014/main" id="{00000000-0008-0000-0400-0000F3010000}"/>
              </a:ext>
            </a:extLst>
          </xdr:cNvPr>
          <xdr:cNvSpPr/>
        </xdr:nvSpPr>
        <xdr:spPr>
          <a:xfrm>
            <a:off x="2286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00" name="QRANDROID">
            <a:extLst>
              <a:ext uri="{FF2B5EF4-FFF2-40B4-BE49-F238E27FC236}">
                <a16:creationId xmlns:a16="http://schemas.microsoft.com/office/drawing/2014/main" id="{00000000-0008-0000-0400-0000F4010000}"/>
              </a:ext>
            </a:extLst>
          </xdr:cNvPr>
          <xdr:cNvSpPr/>
        </xdr:nvSpPr>
        <xdr:spPr>
          <a:xfrm>
            <a:off x="2413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01" name="QRANDROID">
            <a:extLst>
              <a:ext uri="{FF2B5EF4-FFF2-40B4-BE49-F238E27FC236}">
                <a16:creationId xmlns:a16="http://schemas.microsoft.com/office/drawing/2014/main" id="{00000000-0008-0000-0400-0000F5010000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02" name="QRANDROID">
            <a:extLst>
              <a:ext uri="{FF2B5EF4-FFF2-40B4-BE49-F238E27FC236}">
                <a16:creationId xmlns:a16="http://schemas.microsoft.com/office/drawing/2014/main" id="{00000000-0008-0000-0400-0000F6010000}"/>
              </a:ext>
            </a:extLst>
          </xdr:cNvPr>
          <xdr:cNvSpPr/>
        </xdr:nvSpPr>
        <xdr:spPr>
          <a:xfrm>
            <a:off x="266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03" name="QRANDROID">
            <a:extLst>
              <a:ext uri="{FF2B5EF4-FFF2-40B4-BE49-F238E27FC236}">
                <a16:creationId xmlns:a16="http://schemas.microsoft.com/office/drawing/2014/main" id="{00000000-0008-0000-0400-0000F7010000}"/>
              </a:ext>
            </a:extLst>
          </xdr:cNvPr>
          <xdr:cNvSpPr/>
        </xdr:nvSpPr>
        <xdr:spPr>
          <a:xfrm>
            <a:off x="2794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04" name="QRANDROID">
            <a:extLst>
              <a:ext uri="{FF2B5EF4-FFF2-40B4-BE49-F238E27FC236}">
                <a16:creationId xmlns:a16="http://schemas.microsoft.com/office/drawing/2014/main" id="{00000000-0008-0000-0400-0000F8010000}"/>
              </a:ext>
            </a:extLst>
          </xdr:cNvPr>
          <xdr:cNvSpPr/>
        </xdr:nvSpPr>
        <xdr:spPr>
          <a:xfrm>
            <a:off x="3175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05" name="QRANDROID">
            <a:extLst>
              <a:ext uri="{FF2B5EF4-FFF2-40B4-BE49-F238E27FC236}">
                <a16:creationId xmlns:a16="http://schemas.microsoft.com/office/drawing/2014/main" id="{00000000-0008-0000-0400-0000F9010000}"/>
              </a:ext>
            </a:extLst>
          </xdr:cNvPr>
          <xdr:cNvSpPr/>
        </xdr:nvSpPr>
        <xdr:spPr>
          <a:xfrm>
            <a:off x="3302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06" name="QRANDROID">
            <a:extLst>
              <a:ext uri="{FF2B5EF4-FFF2-40B4-BE49-F238E27FC236}">
                <a16:creationId xmlns:a16="http://schemas.microsoft.com/office/drawing/2014/main" id="{00000000-0008-0000-0400-0000FA010000}"/>
              </a:ext>
            </a:extLst>
          </xdr:cNvPr>
          <xdr:cNvSpPr/>
        </xdr:nvSpPr>
        <xdr:spPr>
          <a:xfrm>
            <a:off x="3429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07" name="QRANDROID">
            <a:extLst>
              <a:ext uri="{FF2B5EF4-FFF2-40B4-BE49-F238E27FC236}">
                <a16:creationId xmlns:a16="http://schemas.microsoft.com/office/drawing/2014/main" id="{00000000-0008-0000-0400-0000FB010000}"/>
              </a:ext>
            </a:extLst>
          </xdr:cNvPr>
          <xdr:cNvSpPr/>
        </xdr:nvSpPr>
        <xdr:spPr>
          <a:xfrm>
            <a:off x="4064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08" name="QRANDROID">
            <a:extLst>
              <a:ext uri="{FF2B5EF4-FFF2-40B4-BE49-F238E27FC236}">
                <a16:creationId xmlns:a16="http://schemas.microsoft.com/office/drawing/2014/main" id="{00000000-0008-0000-0400-0000FC010000}"/>
              </a:ext>
            </a:extLst>
          </xdr:cNvPr>
          <xdr:cNvSpPr/>
        </xdr:nvSpPr>
        <xdr:spPr>
          <a:xfrm>
            <a:off x="4445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09" name="QRANDROID">
            <a:extLst>
              <a:ext uri="{FF2B5EF4-FFF2-40B4-BE49-F238E27FC236}">
                <a16:creationId xmlns:a16="http://schemas.microsoft.com/office/drawing/2014/main" id="{00000000-0008-0000-0400-0000FD010000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10" name="QRANDROID">
            <a:extLst>
              <a:ext uri="{FF2B5EF4-FFF2-40B4-BE49-F238E27FC236}">
                <a16:creationId xmlns:a16="http://schemas.microsoft.com/office/drawing/2014/main" id="{00000000-0008-0000-0400-0000FE010000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11" name="QRANDROID">
            <a:extLst>
              <a:ext uri="{FF2B5EF4-FFF2-40B4-BE49-F238E27FC236}">
                <a16:creationId xmlns:a16="http://schemas.microsoft.com/office/drawing/2014/main" id="{00000000-0008-0000-0400-0000FF010000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12" name="QRANDROID">
            <a:extLst>
              <a:ext uri="{FF2B5EF4-FFF2-40B4-BE49-F238E27FC236}">
                <a16:creationId xmlns:a16="http://schemas.microsoft.com/office/drawing/2014/main" id="{00000000-0008-0000-0400-000000020000}"/>
              </a:ext>
            </a:extLst>
          </xdr:cNvPr>
          <xdr:cNvSpPr/>
        </xdr:nvSpPr>
        <xdr:spPr>
          <a:xfrm>
            <a:off x="1270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13" name="QRANDROID">
            <a:extLst>
              <a:ext uri="{FF2B5EF4-FFF2-40B4-BE49-F238E27FC236}">
                <a16:creationId xmlns:a16="http://schemas.microsoft.com/office/drawing/2014/main" id="{00000000-0008-0000-0400-000001020000}"/>
              </a:ext>
            </a:extLst>
          </xdr:cNvPr>
          <xdr:cNvSpPr/>
        </xdr:nvSpPr>
        <xdr:spPr>
          <a:xfrm>
            <a:off x="152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14" name="QRANDROID">
            <a:extLst>
              <a:ext uri="{FF2B5EF4-FFF2-40B4-BE49-F238E27FC236}">
                <a16:creationId xmlns:a16="http://schemas.microsoft.com/office/drawing/2014/main" id="{00000000-0008-0000-0400-000002020000}"/>
              </a:ext>
            </a:extLst>
          </xdr:cNvPr>
          <xdr:cNvSpPr/>
        </xdr:nvSpPr>
        <xdr:spPr>
          <a:xfrm>
            <a:off x="165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15" name="QRANDROID">
            <a:extLst>
              <a:ext uri="{FF2B5EF4-FFF2-40B4-BE49-F238E27FC236}">
                <a16:creationId xmlns:a16="http://schemas.microsoft.com/office/drawing/2014/main" id="{00000000-0008-0000-0400-000003020000}"/>
              </a:ext>
            </a:extLst>
          </xdr:cNvPr>
          <xdr:cNvSpPr/>
        </xdr:nvSpPr>
        <xdr:spPr>
          <a:xfrm>
            <a:off x="203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16" name="QRANDROID">
            <a:extLst>
              <a:ext uri="{FF2B5EF4-FFF2-40B4-BE49-F238E27FC236}">
                <a16:creationId xmlns:a16="http://schemas.microsoft.com/office/drawing/2014/main" id="{00000000-0008-0000-0400-000004020000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17" name="QRANDROID">
            <a:extLst>
              <a:ext uri="{FF2B5EF4-FFF2-40B4-BE49-F238E27FC236}">
                <a16:creationId xmlns:a16="http://schemas.microsoft.com/office/drawing/2014/main" id="{00000000-0008-0000-0400-000005020000}"/>
              </a:ext>
            </a:extLst>
          </xdr:cNvPr>
          <xdr:cNvSpPr/>
        </xdr:nvSpPr>
        <xdr:spPr>
          <a:xfrm>
            <a:off x="2286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18" name="QRANDROID">
            <a:extLst>
              <a:ext uri="{FF2B5EF4-FFF2-40B4-BE49-F238E27FC236}">
                <a16:creationId xmlns:a16="http://schemas.microsoft.com/office/drawing/2014/main" id="{00000000-0008-0000-0400-000006020000}"/>
              </a:ext>
            </a:extLst>
          </xdr:cNvPr>
          <xdr:cNvSpPr/>
        </xdr:nvSpPr>
        <xdr:spPr>
          <a:xfrm>
            <a:off x="2540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19" name="QRANDROID">
            <a:extLst>
              <a:ext uri="{FF2B5EF4-FFF2-40B4-BE49-F238E27FC236}">
                <a16:creationId xmlns:a16="http://schemas.microsoft.com/office/drawing/2014/main" id="{00000000-0008-0000-0400-000007020000}"/>
              </a:ext>
            </a:extLst>
          </xdr:cNvPr>
          <xdr:cNvSpPr/>
        </xdr:nvSpPr>
        <xdr:spPr>
          <a:xfrm>
            <a:off x="2667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20" name="QRANDROID">
            <a:extLst>
              <a:ext uri="{FF2B5EF4-FFF2-40B4-BE49-F238E27FC236}">
                <a16:creationId xmlns:a16="http://schemas.microsoft.com/office/drawing/2014/main" id="{00000000-0008-0000-0400-000008020000}"/>
              </a:ext>
            </a:extLst>
          </xdr:cNvPr>
          <xdr:cNvSpPr/>
        </xdr:nvSpPr>
        <xdr:spPr>
          <a:xfrm>
            <a:off x="279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21" name="QRANDROID">
            <a:extLst>
              <a:ext uri="{FF2B5EF4-FFF2-40B4-BE49-F238E27FC236}">
                <a16:creationId xmlns:a16="http://schemas.microsoft.com/office/drawing/2014/main" id="{00000000-0008-0000-0400-000009020000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22" name="QRANDROID">
            <a:extLst>
              <a:ext uri="{FF2B5EF4-FFF2-40B4-BE49-F238E27FC236}">
                <a16:creationId xmlns:a16="http://schemas.microsoft.com/office/drawing/2014/main" id="{00000000-0008-0000-0400-00000A020000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23" name="QRANDROID">
            <a:extLst>
              <a:ext uri="{FF2B5EF4-FFF2-40B4-BE49-F238E27FC236}">
                <a16:creationId xmlns:a16="http://schemas.microsoft.com/office/drawing/2014/main" id="{00000000-0008-0000-0400-00000B020000}"/>
              </a:ext>
            </a:extLst>
          </xdr:cNvPr>
          <xdr:cNvSpPr/>
        </xdr:nvSpPr>
        <xdr:spPr>
          <a:xfrm>
            <a:off x="330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24" name="QRANDROID">
            <a:extLst>
              <a:ext uri="{FF2B5EF4-FFF2-40B4-BE49-F238E27FC236}">
                <a16:creationId xmlns:a16="http://schemas.microsoft.com/office/drawing/2014/main" id="{00000000-0008-0000-0400-00000C020000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25" name="QRANDROID">
            <a:extLst>
              <a:ext uri="{FF2B5EF4-FFF2-40B4-BE49-F238E27FC236}">
                <a16:creationId xmlns:a16="http://schemas.microsoft.com/office/drawing/2014/main" id="{00000000-0008-0000-0400-00000D020000}"/>
              </a:ext>
            </a:extLst>
          </xdr:cNvPr>
          <xdr:cNvSpPr/>
        </xdr:nvSpPr>
        <xdr:spPr>
          <a:xfrm>
            <a:off x="3556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26" name="QRANDROID">
            <a:extLst>
              <a:ext uri="{FF2B5EF4-FFF2-40B4-BE49-F238E27FC236}">
                <a16:creationId xmlns:a16="http://schemas.microsoft.com/office/drawing/2014/main" id="{00000000-0008-0000-0400-00000E020000}"/>
              </a:ext>
            </a:extLst>
          </xdr:cNvPr>
          <xdr:cNvSpPr/>
        </xdr:nvSpPr>
        <xdr:spPr>
          <a:xfrm>
            <a:off x="3683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27" name="QRANDROID">
            <a:extLst>
              <a:ext uri="{FF2B5EF4-FFF2-40B4-BE49-F238E27FC236}">
                <a16:creationId xmlns:a16="http://schemas.microsoft.com/office/drawing/2014/main" id="{00000000-0008-0000-0400-00000F020000}"/>
              </a:ext>
            </a:extLst>
          </xdr:cNvPr>
          <xdr:cNvSpPr/>
        </xdr:nvSpPr>
        <xdr:spPr>
          <a:xfrm>
            <a:off x="3810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28" name="QRANDROID">
            <a:extLst>
              <a:ext uri="{FF2B5EF4-FFF2-40B4-BE49-F238E27FC236}">
                <a16:creationId xmlns:a16="http://schemas.microsoft.com/office/drawing/2014/main" id="{00000000-0008-0000-0400-000010020000}"/>
              </a:ext>
            </a:extLst>
          </xdr:cNvPr>
          <xdr:cNvSpPr/>
        </xdr:nvSpPr>
        <xdr:spPr>
          <a:xfrm>
            <a:off x="3937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29" name="QRANDROID">
            <a:extLst>
              <a:ext uri="{FF2B5EF4-FFF2-40B4-BE49-F238E27FC236}">
                <a16:creationId xmlns:a16="http://schemas.microsoft.com/office/drawing/2014/main" id="{00000000-0008-0000-0400-000011020000}"/>
              </a:ext>
            </a:extLst>
          </xdr:cNvPr>
          <xdr:cNvSpPr/>
        </xdr:nvSpPr>
        <xdr:spPr>
          <a:xfrm>
            <a:off x="406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30" name="QRANDROID">
            <a:extLst>
              <a:ext uri="{FF2B5EF4-FFF2-40B4-BE49-F238E27FC236}">
                <a16:creationId xmlns:a16="http://schemas.microsoft.com/office/drawing/2014/main" id="{00000000-0008-0000-0400-000012020000}"/>
              </a:ext>
            </a:extLst>
          </xdr:cNvPr>
          <xdr:cNvSpPr/>
        </xdr:nvSpPr>
        <xdr:spPr>
          <a:xfrm>
            <a:off x="431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31" name="QRANDROID">
            <a:extLst>
              <a:ext uri="{FF2B5EF4-FFF2-40B4-BE49-F238E27FC236}">
                <a16:creationId xmlns:a16="http://schemas.microsoft.com/office/drawing/2014/main" id="{00000000-0008-0000-0400-000013020000}"/>
              </a:ext>
            </a:extLst>
          </xdr:cNvPr>
          <xdr:cNvSpPr/>
        </xdr:nvSpPr>
        <xdr:spPr>
          <a:xfrm>
            <a:off x="4445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32" name="QRANDROID">
            <a:extLst>
              <a:ext uri="{FF2B5EF4-FFF2-40B4-BE49-F238E27FC236}">
                <a16:creationId xmlns:a16="http://schemas.microsoft.com/office/drawing/2014/main" id="{00000000-0008-0000-0400-000014020000}"/>
              </a:ext>
            </a:extLst>
          </xdr:cNvPr>
          <xdr:cNvSpPr/>
        </xdr:nvSpPr>
        <xdr:spPr>
          <a:xfrm>
            <a:off x="457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33" name="QRANDROID">
            <a:extLst>
              <a:ext uri="{FF2B5EF4-FFF2-40B4-BE49-F238E27FC236}">
                <a16:creationId xmlns:a16="http://schemas.microsoft.com/office/drawing/2014/main" id="{00000000-0008-0000-0400-000015020000}"/>
              </a:ext>
            </a:extLst>
          </xdr:cNvPr>
          <xdr:cNvSpPr/>
        </xdr:nvSpPr>
        <xdr:spPr>
          <a:xfrm>
            <a:off x="101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34" name="QRANDROID">
            <a:extLst>
              <a:ext uri="{FF2B5EF4-FFF2-40B4-BE49-F238E27FC236}">
                <a16:creationId xmlns:a16="http://schemas.microsoft.com/office/drawing/2014/main" id="{00000000-0008-0000-0400-000016020000}"/>
              </a:ext>
            </a:extLst>
          </xdr:cNvPr>
          <xdr:cNvSpPr/>
        </xdr:nvSpPr>
        <xdr:spPr>
          <a:xfrm>
            <a:off x="1524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35" name="QRANDROID">
            <a:extLst>
              <a:ext uri="{FF2B5EF4-FFF2-40B4-BE49-F238E27FC236}">
                <a16:creationId xmlns:a16="http://schemas.microsoft.com/office/drawing/2014/main" id="{00000000-0008-0000-0400-000017020000}"/>
              </a:ext>
            </a:extLst>
          </xdr:cNvPr>
          <xdr:cNvSpPr/>
        </xdr:nvSpPr>
        <xdr:spPr>
          <a:xfrm>
            <a:off x="165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36" name="QRANDROID">
            <a:extLst>
              <a:ext uri="{FF2B5EF4-FFF2-40B4-BE49-F238E27FC236}">
                <a16:creationId xmlns:a16="http://schemas.microsoft.com/office/drawing/2014/main" id="{00000000-0008-0000-0400-000018020000}"/>
              </a:ext>
            </a:extLst>
          </xdr:cNvPr>
          <xdr:cNvSpPr/>
        </xdr:nvSpPr>
        <xdr:spPr>
          <a:xfrm>
            <a:off x="1905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37" name="QRANDROID">
            <a:extLst>
              <a:ext uri="{FF2B5EF4-FFF2-40B4-BE49-F238E27FC236}">
                <a16:creationId xmlns:a16="http://schemas.microsoft.com/office/drawing/2014/main" id="{00000000-0008-0000-0400-000019020000}"/>
              </a:ext>
            </a:extLst>
          </xdr:cNvPr>
          <xdr:cNvSpPr/>
        </xdr:nvSpPr>
        <xdr:spPr>
          <a:xfrm>
            <a:off x="2032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38" name="QRANDROID">
            <a:extLst>
              <a:ext uri="{FF2B5EF4-FFF2-40B4-BE49-F238E27FC236}">
                <a16:creationId xmlns:a16="http://schemas.microsoft.com/office/drawing/2014/main" id="{00000000-0008-0000-0400-00001A020000}"/>
              </a:ext>
            </a:extLst>
          </xdr:cNvPr>
          <xdr:cNvSpPr/>
        </xdr:nvSpPr>
        <xdr:spPr>
          <a:xfrm>
            <a:off x="2159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39" name="QRANDROID">
            <a:extLst>
              <a:ext uri="{FF2B5EF4-FFF2-40B4-BE49-F238E27FC236}">
                <a16:creationId xmlns:a16="http://schemas.microsoft.com/office/drawing/2014/main" id="{00000000-0008-0000-0400-00001B020000}"/>
              </a:ext>
            </a:extLst>
          </xdr:cNvPr>
          <xdr:cNvSpPr/>
        </xdr:nvSpPr>
        <xdr:spPr>
          <a:xfrm>
            <a:off x="2540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40" name="QRANDROID">
            <a:extLst>
              <a:ext uri="{FF2B5EF4-FFF2-40B4-BE49-F238E27FC236}">
                <a16:creationId xmlns:a16="http://schemas.microsoft.com/office/drawing/2014/main" id="{00000000-0008-0000-0400-00001C020000}"/>
              </a:ext>
            </a:extLst>
          </xdr:cNvPr>
          <xdr:cNvSpPr/>
        </xdr:nvSpPr>
        <xdr:spPr>
          <a:xfrm>
            <a:off x="2667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41" name="QRANDROID">
            <a:extLst>
              <a:ext uri="{FF2B5EF4-FFF2-40B4-BE49-F238E27FC236}">
                <a16:creationId xmlns:a16="http://schemas.microsoft.com/office/drawing/2014/main" id="{00000000-0008-0000-0400-00001D020000}"/>
              </a:ext>
            </a:extLst>
          </xdr:cNvPr>
          <xdr:cNvSpPr/>
        </xdr:nvSpPr>
        <xdr:spPr>
          <a:xfrm>
            <a:off x="3048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42" name="QRANDROID">
            <a:extLst>
              <a:ext uri="{FF2B5EF4-FFF2-40B4-BE49-F238E27FC236}">
                <a16:creationId xmlns:a16="http://schemas.microsoft.com/office/drawing/2014/main" id="{00000000-0008-0000-0400-00001E020000}"/>
              </a:ext>
            </a:extLst>
          </xdr:cNvPr>
          <xdr:cNvSpPr/>
        </xdr:nvSpPr>
        <xdr:spPr>
          <a:xfrm>
            <a:off x="3175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43" name="QRANDROID">
            <a:extLst>
              <a:ext uri="{FF2B5EF4-FFF2-40B4-BE49-F238E27FC236}">
                <a16:creationId xmlns:a16="http://schemas.microsoft.com/office/drawing/2014/main" id="{00000000-0008-0000-0400-00001F020000}"/>
              </a:ext>
            </a:extLst>
          </xdr:cNvPr>
          <xdr:cNvSpPr/>
        </xdr:nvSpPr>
        <xdr:spPr>
          <a:xfrm>
            <a:off x="3429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44" name="QRANDROID">
            <a:extLst>
              <a:ext uri="{FF2B5EF4-FFF2-40B4-BE49-F238E27FC236}">
                <a16:creationId xmlns:a16="http://schemas.microsoft.com/office/drawing/2014/main" id="{00000000-0008-0000-0400-000020020000}"/>
              </a:ext>
            </a:extLst>
          </xdr:cNvPr>
          <xdr:cNvSpPr/>
        </xdr:nvSpPr>
        <xdr:spPr>
          <a:xfrm>
            <a:off x="355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45" name="QRANDROID">
            <a:extLst>
              <a:ext uri="{FF2B5EF4-FFF2-40B4-BE49-F238E27FC236}">
                <a16:creationId xmlns:a16="http://schemas.microsoft.com/office/drawing/2014/main" id="{00000000-0008-0000-0400-000021020000}"/>
              </a:ext>
            </a:extLst>
          </xdr:cNvPr>
          <xdr:cNvSpPr/>
        </xdr:nvSpPr>
        <xdr:spPr>
          <a:xfrm>
            <a:off x="4064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46" name="QRANDROID">
            <a:extLst>
              <a:ext uri="{FF2B5EF4-FFF2-40B4-BE49-F238E27FC236}">
                <a16:creationId xmlns:a16="http://schemas.microsoft.com/office/drawing/2014/main" id="{00000000-0008-0000-0400-000022020000}"/>
              </a:ext>
            </a:extLst>
          </xdr:cNvPr>
          <xdr:cNvSpPr/>
        </xdr:nvSpPr>
        <xdr:spPr>
          <a:xfrm>
            <a:off x="419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47" name="QRANDROID">
            <a:extLst>
              <a:ext uri="{FF2B5EF4-FFF2-40B4-BE49-F238E27FC236}">
                <a16:creationId xmlns:a16="http://schemas.microsoft.com/office/drawing/2014/main" id="{00000000-0008-0000-0400-000023020000}"/>
              </a:ext>
            </a:extLst>
          </xdr:cNvPr>
          <xdr:cNvSpPr/>
        </xdr:nvSpPr>
        <xdr:spPr>
          <a:xfrm>
            <a:off x="4445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48" name="QRANDROID">
            <a:extLst>
              <a:ext uri="{FF2B5EF4-FFF2-40B4-BE49-F238E27FC236}">
                <a16:creationId xmlns:a16="http://schemas.microsoft.com/office/drawing/2014/main" id="{00000000-0008-0000-0400-000024020000}"/>
              </a:ext>
            </a:extLst>
          </xdr:cNvPr>
          <xdr:cNvSpPr/>
        </xdr:nvSpPr>
        <xdr:spPr>
          <a:xfrm>
            <a:off x="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49" name="QRANDROID">
            <a:extLst>
              <a:ext uri="{FF2B5EF4-FFF2-40B4-BE49-F238E27FC236}">
                <a16:creationId xmlns:a16="http://schemas.microsoft.com/office/drawing/2014/main" id="{00000000-0008-0000-0400-000025020000}"/>
              </a:ext>
            </a:extLst>
          </xdr:cNvPr>
          <xdr:cNvSpPr/>
        </xdr:nvSpPr>
        <xdr:spPr>
          <a:xfrm>
            <a:off x="127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50" name="QRANDROID">
            <a:extLst>
              <a:ext uri="{FF2B5EF4-FFF2-40B4-BE49-F238E27FC236}">
                <a16:creationId xmlns:a16="http://schemas.microsoft.com/office/drawing/2014/main" id="{00000000-0008-0000-0400-000026020000}"/>
              </a:ext>
            </a:extLst>
          </xdr:cNvPr>
          <xdr:cNvSpPr/>
        </xdr:nvSpPr>
        <xdr:spPr>
          <a:xfrm>
            <a:off x="25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51" name="QRANDROID">
            <a:extLst>
              <a:ext uri="{FF2B5EF4-FFF2-40B4-BE49-F238E27FC236}">
                <a16:creationId xmlns:a16="http://schemas.microsoft.com/office/drawing/2014/main" id="{00000000-0008-0000-0400-000027020000}"/>
              </a:ext>
            </a:extLst>
          </xdr:cNvPr>
          <xdr:cNvSpPr/>
        </xdr:nvSpPr>
        <xdr:spPr>
          <a:xfrm>
            <a:off x="381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52" name="QRANDROID">
            <a:extLst>
              <a:ext uri="{FF2B5EF4-FFF2-40B4-BE49-F238E27FC236}">
                <a16:creationId xmlns:a16="http://schemas.microsoft.com/office/drawing/2014/main" id="{00000000-0008-0000-0400-000028020000}"/>
              </a:ext>
            </a:extLst>
          </xdr:cNvPr>
          <xdr:cNvSpPr/>
        </xdr:nvSpPr>
        <xdr:spPr>
          <a:xfrm>
            <a:off x="50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53" name="QRANDROID">
            <a:extLst>
              <a:ext uri="{FF2B5EF4-FFF2-40B4-BE49-F238E27FC236}">
                <a16:creationId xmlns:a16="http://schemas.microsoft.com/office/drawing/2014/main" id="{00000000-0008-0000-0400-000029020000}"/>
              </a:ext>
            </a:extLst>
          </xdr:cNvPr>
          <xdr:cNvSpPr/>
        </xdr:nvSpPr>
        <xdr:spPr>
          <a:xfrm>
            <a:off x="635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54" name="QRANDROID">
            <a:extLst>
              <a:ext uri="{FF2B5EF4-FFF2-40B4-BE49-F238E27FC236}">
                <a16:creationId xmlns:a16="http://schemas.microsoft.com/office/drawing/2014/main" id="{00000000-0008-0000-0400-00002A020000}"/>
              </a:ext>
            </a:extLst>
          </xdr:cNvPr>
          <xdr:cNvSpPr/>
        </xdr:nvSpPr>
        <xdr:spPr>
          <a:xfrm>
            <a:off x="76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55" name="QRANDROID">
            <a:extLst>
              <a:ext uri="{FF2B5EF4-FFF2-40B4-BE49-F238E27FC236}">
                <a16:creationId xmlns:a16="http://schemas.microsoft.com/office/drawing/2014/main" id="{00000000-0008-0000-0400-00002B020000}"/>
              </a:ext>
            </a:extLst>
          </xdr:cNvPr>
          <xdr:cNvSpPr/>
        </xdr:nvSpPr>
        <xdr:spPr>
          <a:xfrm>
            <a:off x="1651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56" name="QRANDROID">
            <a:extLst>
              <a:ext uri="{FF2B5EF4-FFF2-40B4-BE49-F238E27FC236}">
                <a16:creationId xmlns:a16="http://schemas.microsoft.com/office/drawing/2014/main" id="{00000000-0008-0000-0400-00002C020000}"/>
              </a:ext>
            </a:extLst>
          </xdr:cNvPr>
          <xdr:cNvSpPr/>
        </xdr:nvSpPr>
        <xdr:spPr>
          <a:xfrm>
            <a:off x="177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57" name="QRANDROID">
            <a:extLst>
              <a:ext uri="{FF2B5EF4-FFF2-40B4-BE49-F238E27FC236}">
                <a16:creationId xmlns:a16="http://schemas.microsoft.com/office/drawing/2014/main" id="{00000000-0008-0000-0400-00002D020000}"/>
              </a:ext>
            </a:extLst>
          </xdr:cNvPr>
          <xdr:cNvSpPr/>
        </xdr:nvSpPr>
        <xdr:spPr>
          <a:xfrm>
            <a:off x="254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58" name="QRANDROID">
            <a:extLst>
              <a:ext uri="{FF2B5EF4-FFF2-40B4-BE49-F238E27FC236}">
                <a16:creationId xmlns:a16="http://schemas.microsoft.com/office/drawing/2014/main" id="{00000000-0008-0000-0400-00002E020000}"/>
              </a:ext>
            </a:extLst>
          </xdr:cNvPr>
          <xdr:cNvSpPr/>
        </xdr:nvSpPr>
        <xdr:spPr>
          <a:xfrm>
            <a:off x="279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59" name="QRANDROID">
            <a:extLst>
              <a:ext uri="{FF2B5EF4-FFF2-40B4-BE49-F238E27FC236}">
                <a16:creationId xmlns:a16="http://schemas.microsoft.com/office/drawing/2014/main" id="{00000000-0008-0000-0400-00002F020000}"/>
              </a:ext>
            </a:extLst>
          </xdr:cNvPr>
          <xdr:cNvSpPr/>
        </xdr:nvSpPr>
        <xdr:spPr>
          <a:xfrm>
            <a:off x="3175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60" name="QRANDROID">
            <a:extLst>
              <a:ext uri="{FF2B5EF4-FFF2-40B4-BE49-F238E27FC236}">
                <a16:creationId xmlns:a16="http://schemas.microsoft.com/office/drawing/2014/main" id="{00000000-0008-0000-0400-000030020000}"/>
              </a:ext>
            </a:extLst>
          </xdr:cNvPr>
          <xdr:cNvSpPr/>
        </xdr:nvSpPr>
        <xdr:spPr>
          <a:xfrm>
            <a:off x="330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61" name="QRANDROID">
            <a:extLst>
              <a:ext uri="{FF2B5EF4-FFF2-40B4-BE49-F238E27FC236}">
                <a16:creationId xmlns:a16="http://schemas.microsoft.com/office/drawing/2014/main" id="{00000000-0008-0000-0400-000031020000}"/>
              </a:ext>
            </a:extLst>
          </xdr:cNvPr>
          <xdr:cNvSpPr/>
        </xdr:nvSpPr>
        <xdr:spPr>
          <a:xfrm>
            <a:off x="3429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62" name="QRANDROID">
            <a:extLst>
              <a:ext uri="{FF2B5EF4-FFF2-40B4-BE49-F238E27FC236}">
                <a16:creationId xmlns:a16="http://schemas.microsoft.com/office/drawing/2014/main" id="{00000000-0008-0000-0400-000032020000}"/>
              </a:ext>
            </a:extLst>
          </xdr:cNvPr>
          <xdr:cNvSpPr/>
        </xdr:nvSpPr>
        <xdr:spPr>
          <a:xfrm>
            <a:off x="3556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63" name="QRANDROID">
            <a:extLst>
              <a:ext uri="{FF2B5EF4-FFF2-40B4-BE49-F238E27FC236}">
                <a16:creationId xmlns:a16="http://schemas.microsoft.com/office/drawing/2014/main" id="{00000000-0008-0000-0400-000033020000}"/>
              </a:ext>
            </a:extLst>
          </xdr:cNvPr>
          <xdr:cNvSpPr/>
        </xdr:nvSpPr>
        <xdr:spPr>
          <a:xfrm>
            <a:off x="381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64" name="QRANDROID">
            <a:extLst>
              <a:ext uri="{FF2B5EF4-FFF2-40B4-BE49-F238E27FC236}">
                <a16:creationId xmlns:a16="http://schemas.microsoft.com/office/drawing/2014/main" id="{00000000-0008-0000-0400-000034020000}"/>
              </a:ext>
            </a:extLst>
          </xdr:cNvPr>
          <xdr:cNvSpPr/>
        </xdr:nvSpPr>
        <xdr:spPr>
          <a:xfrm>
            <a:off x="406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65" name="QRANDROID">
            <a:extLst>
              <a:ext uri="{FF2B5EF4-FFF2-40B4-BE49-F238E27FC236}">
                <a16:creationId xmlns:a16="http://schemas.microsoft.com/office/drawing/2014/main" id="{00000000-0008-0000-0400-000035020000}"/>
              </a:ext>
            </a:extLst>
          </xdr:cNvPr>
          <xdr:cNvSpPr/>
        </xdr:nvSpPr>
        <xdr:spPr>
          <a:xfrm>
            <a:off x="4191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66" name="QRANDROID">
            <a:extLst>
              <a:ext uri="{FF2B5EF4-FFF2-40B4-BE49-F238E27FC236}">
                <a16:creationId xmlns:a16="http://schemas.microsoft.com/office/drawing/2014/main" id="{00000000-0008-0000-0400-000036020000}"/>
              </a:ext>
            </a:extLst>
          </xdr:cNvPr>
          <xdr:cNvSpPr/>
        </xdr:nvSpPr>
        <xdr:spPr>
          <a:xfrm>
            <a:off x="4445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67" name="QRANDROID">
            <a:extLst>
              <a:ext uri="{FF2B5EF4-FFF2-40B4-BE49-F238E27FC236}">
                <a16:creationId xmlns:a16="http://schemas.microsoft.com/office/drawing/2014/main" id="{00000000-0008-0000-0400-000037020000}"/>
              </a:ext>
            </a:extLst>
          </xdr:cNvPr>
          <xdr:cNvSpPr/>
        </xdr:nvSpPr>
        <xdr:spPr>
          <a:xfrm>
            <a:off x="457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68" name="QRANDROID">
            <a:extLst>
              <a:ext uri="{FF2B5EF4-FFF2-40B4-BE49-F238E27FC236}">
                <a16:creationId xmlns:a16="http://schemas.microsoft.com/office/drawing/2014/main" id="{00000000-0008-0000-0400-000038020000}"/>
              </a:ext>
            </a:extLst>
          </xdr:cNvPr>
          <xdr:cNvSpPr/>
        </xdr:nvSpPr>
        <xdr:spPr>
          <a:xfrm>
            <a:off x="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69" name="QRANDROID">
            <a:extLst>
              <a:ext uri="{FF2B5EF4-FFF2-40B4-BE49-F238E27FC236}">
                <a16:creationId xmlns:a16="http://schemas.microsoft.com/office/drawing/2014/main" id="{00000000-0008-0000-0400-000039020000}"/>
              </a:ext>
            </a:extLst>
          </xdr:cNvPr>
          <xdr:cNvSpPr/>
        </xdr:nvSpPr>
        <xdr:spPr>
          <a:xfrm>
            <a:off x="762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70" name="QRANDROID">
            <a:extLst>
              <a:ext uri="{FF2B5EF4-FFF2-40B4-BE49-F238E27FC236}">
                <a16:creationId xmlns:a16="http://schemas.microsoft.com/office/drawing/2014/main" id="{00000000-0008-0000-0400-00003A020000}"/>
              </a:ext>
            </a:extLst>
          </xdr:cNvPr>
          <xdr:cNvSpPr/>
        </xdr:nvSpPr>
        <xdr:spPr>
          <a:xfrm>
            <a:off x="1270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71" name="QRANDROID">
            <a:extLst>
              <a:ext uri="{FF2B5EF4-FFF2-40B4-BE49-F238E27FC236}">
                <a16:creationId xmlns:a16="http://schemas.microsoft.com/office/drawing/2014/main" id="{00000000-0008-0000-0400-00003B020000}"/>
              </a:ext>
            </a:extLst>
          </xdr:cNvPr>
          <xdr:cNvSpPr/>
        </xdr:nvSpPr>
        <xdr:spPr>
          <a:xfrm>
            <a:off x="1778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72" name="QRANDROID">
            <a:extLst>
              <a:ext uri="{FF2B5EF4-FFF2-40B4-BE49-F238E27FC236}">
                <a16:creationId xmlns:a16="http://schemas.microsoft.com/office/drawing/2014/main" id="{00000000-0008-0000-0400-00003C020000}"/>
              </a:ext>
            </a:extLst>
          </xdr:cNvPr>
          <xdr:cNvSpPr/>
        </xdr:nvSpPr>
        <xdr:spPr>
          <a:xfrm>
            <a:off x="2159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73" name="QRANDROID">
            <a:extLst>
              <a:ext uri="{FF2B5EF4-FFF2-40B4-BE49-F238E27FC236}">
                <a16:creationId xmlns:a16="http://schemas.microsoft.com/office/drawing/2014/main" id="{00000000-0008-0000-0400-00003D020000}"/>
              </a:ext>
            </a:extLst>
          </xdr:cNvPr>
          <xdr:cNvSpPr/>
        </xdr:nvSpPr>
        <xdr:spPr>
          <a:xfrm>
            <a:off x="2413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74" name="QRANDROID">
            <a:extLst>
              <a:ext uri="{FF2B5EF4-FFF2-40B4-BE49-F238E27FC236}">
                <a16:creationId xmlns:a16="http://schemas.microsoft.com/office/drawing/2014/main" id="{00000000-0008-0000-0400-00003E020000}"/>
              </a:ext>
            </a:extLst>
          </xdr:cNvPr>
          <xdr:cNvSpPr/>
        </xdr:nvSpPr>
        <xdr:spPr>
          <a:xfrm>
            <a:off x="2667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75" name="QRANDROID">
            <a:extLst>
              <a:ext uri="{FF2B5EF4-FFF2-40B4-BE49-F238E27FC236}">
                <a16:creationId xmlns:a16="http://schemas.microsoft.com/office/drawing/2014/main" id="{00000000-0008-0000-0400-00003F020000}"/>
              </a:ext>
            </a:extLst>
          </xdr:cNvPr>
          <xdr:cNvSpPr/>
        </xdr:nvSpPr>
        <xdr:spPr>
          <a:xfrm>
            <a:off x="2794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76" name="QRANDROID">
            <a:extLst>
              <a:ext uri="{FF2B5EF4-FFF2-40B4-BE49-F238E27FC236}">
                <a16:creationId xmlns:a16="http://schemas.microsoft.com/office/drawing/2014/main" id="{00000000-0008-0000-0400-000040020000}"/>
              </a:ext>
            </a:extLst>
          </xdr:cNvPr>
          <xdr:cNvSpPr/>
        </xdr:nvSpPr>
        <xdr:spPr>
          <a:xfrm>
            <a:off x="3048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77" name="QRANDROID">
            <a:extLst>
              <a:ext uri="{FF2B5EF4-FFF2-40B4-BE49-F238E27FC236}">
                <a16:creationId xmlns:a16="http://schemas.microsoft.com/office/drawing/2014/main" id="{00000000-0008-0000-0400-000041020000}"/>
              </a:ext>
            </a:extLst>
          </xdr:cNvPr>
          <xdr:cNvSpPr/>
        </xdr:nvSpPr>
        <xdr:spPr>
          <a:xfrm>
            <a:off x="3175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78" name="QRANDROID">
            <a:extLst>
              <a:ext uri="{FF2B5EF4-FFF2-40B4-BE49-F238E27FC236}">
                <a16:creationId xmlns:a16="http://schemas.microsoft.com/office/drawing/2014/main" id="{00000000-0008-0000-0400-000042020000}"/>
              </a:ext>
            </a:extLst>
          </xdr:cNvPr>
          <xdr:cNvSpPr/>
        </xdr:nvSpPr>
        <xdr:spPr>
          <a:xfrm>
            <a:off x="3556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79" name="QRANDROID">
            <a:extLst>
              <a:ext uri="{FF2B5EF4-FFF2-40B4-BE49-F238E27FC236}">
                <a16:creationId xmlns:a16="http://schemas.microsoft.com/office/drawing/2014/main" id="{00000000-0008-0000-0400-000043020000}"/>
              </a:ext>
            </a:extLst>
          </xdr:cNvPr>
          <xdr:cNvSpPr/>
        </xdr:nvSpPr>
        <xdr:spPr>
          <a:xfrm>
            <a:off x="4064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80" name="QRANDROID">
            <a:extLst>
              <a:ext uri="{FF2B5EF4-FFF2-40B4-BE49-F238E27FC236}">
                <a16:creationId xmlns:a16="http://schemas.microsoft.com/office/drawing/2014/main" id="{00000000-0008-0000-0400-000044020000}"/>
              </a:ext>
            </a:extLst>
          </xdr:cNvPr>
          <xdr:cNvSpPr/>
        </xdr:nvSpPr>
        <xdr:spPr>
          <a:xfrm>
            <a:off x="4191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81" name="QRANDROID">
            <a:extLst>
              <a:ext uri="{FF2B5EF4-FFF2-40B4-BE49-F238E27FC236}">
                <a16:creationId xmlns:a16="http://schemas.microsoft.com/office/drawing/2014/main" id="{00000000-0008-0000-0400-000045020000}"/>
              </a:ext>
            </a:extLst>
          </xdr:cNvPr>
          <xdr:cNvSpPr/>
        </xdr:nvSpPr>
        <xdr:spPr>
          <a:xfrm>
            <a:off x="4572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82" name="QRANDROID">
            <a:extLst>
              <a:ext uri="{FF2B5EF4-FFF2-40B4-BE49-F238E27FC236}">
                <a16:creationId xmlns:a16="http://schemas.microsoft.com/office/drawing/2014/main" id="{00000000-0008-0000-0400-000046020000}"/>
              </a:ext>
            </a:extLst>
          </xdr:cNvPr>
          <xdr:cNvSpPr/>
        </xdr:nvSpPr>
        <xdr:spPr>
          <a:xfrm>
            <a:off x="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83" name="QRANDROID">
            <a:extLst>
              <a:ext uri="{FF2B5EF4-FFF2-40B4-BE49-F238E27FC236}">
                <a16:creationId xmlns:a16="http://schemas.microsoft.com/office/drawing/2014/main" id="{00000000-0008-0000-0400-000047020000}"/>
              </a:ext>
            </a:extLst>
          </xdr:cNvPr>
          <xdr:cNvSpPr/>
        </xdr:nvSpPr>
        <xdr:spPr>
          <a:xfrm>
            <a:off x="25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84" name="QRANDROID">
            <a:extLst>
              <a:ext uri="{FF2B5EF4-FFF2-40B4-BE49-F238E27FC236}">
                <a16:creationId xmlns:a16="http://schemas.microsoft.com/office/drawing/2014/main" id="{00000000-0008-0000-0400-000048020000}"/>
              </a:ext>
            </a:extLst>
          </xdr:cNvPr>
          <xdr:cNvSpPr/>
        </xdr:nvSpPr>
        <xdr:spPr>
          <a:xfrm>
            <a:off x="38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85" name="QRANDROID">
            <a:extLst>
              <a:ext uri="{FF2B5EF4-FFF2-40B4-BE49-F238E27FC236}">
                <a16:creationId xmlns:a16="http://schemas.microsoft.com/office/drawing/2014/main" id="{00000000-0008-0000-0400-000049020000}"/>
              </a:ext>
            </a:extLst>
          </xdr:cNvPr>
          <xdr:cNvSpPr/>
        </xdr:nvSpPr>
        <xdr:spPr>
          <a:xfrm>
            <a:off x="50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86" name="QRANDROID">
            <a:extLst>
              <a:ext uri="{FF2B5EF4-FFF2-40B4-BE49-F238E27FC236}">
                <a16:creationId xmlns:a16="http://schemas.microsoft.com/office/drawing/2014/main" id="{00000000-0008-0000-0400-00004A020000}"/>
              </a:ext>
            </a:extLst>
          </xdr:cNvPr>
          <xdr:cNvSpPr/>
        </xdr:nvSpPr>
        <xdr:spPr>
          <a:xfrm>
            <a:off x="762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87" name="QRANDROID">
            <a:extLst>
              <a:ext uri="{FF2B5EF4-FFF2-40B4-BE49-F238E27FC236}">
                <a16:creationId xmlns:a16="http://schemas.microsoft.com/office/drawing/2014/main" id="{00000000-0008-0000-0400-00004B020000}"/>
              </a:ext>
            </a:extLst>
          </xdr:cNvPr>
          <xdr:cNvSpPr/>
        </xdr:nvSpPr>
        <xdr:spPr>
          <a:xfrm>
            <a:off x="101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88" name="QRANDROID">
            <a:extLst>
              <a:ext uri="{FF2B5EF4-FFF2-40B4-BE49-F238E27FC236}">
                <a16:creationId xmlns:a16="http://schemas.microsoft.com/office/drawing/2014/main" id="{00000000-0008-0000-0400-00004C020000}"/>
              </a:ext>
            </a:extLst>
          </xdr:cNvPr>
          <xdr:cNvSpPr/>
        </xdr:nvSpPr>
        <xdr:spPr>
          <a:xfrm>
            <a:off x="177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89" name="QRANDROID">
            <a:extLst>
              <a:ext uri="{FF2B5EF4-FFF2-40B4-BE49-F238E27FC236}">
                <a16:creationId xmlns:a16="http://schemas.microsoft.com/office/drawing/2014/main" id="{00000000-0008-0000-0400-00004D020000}"/>
              </a:ext>
            </a:extLst>
          </xdr:cNvPr>
          <xdr:cNvSpPr/>
        </xdr:nvSpPr>
        <xdr:spPr>
          <a:xfrm>
            <a:off x="2032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90" name="QRANDROID">
            <a:extLst>
              <a:ext uri="{FF2B5EF4-FFF2-40B4-BE49-F238E27FC236}">
                <a16:creationId xmlns:a16="http://schemas.microsoft.com/office/drawing/2014/main" id="{00000000-0008-0000-0400-00004E020000}"/>
              </a:ext>
            </a:extLst>
          </xdr:cNvPr>
          <xdr:cNvSpPr/>
        </xdr:nvSpPr>
        <xdr:spPr>
          <a:xfrm>
            <a:off x="2159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91" name="QRANDROID">
            <a:extLst>
              <a:ext uri="{FF2B5EF4-FFF2-40B4-BE49-F238E27FC236}">
                <a16:creationId xmlns:a16="http://schemas.microsoft.com/office/drawing/2014/main" id="{00000000-0008-0000-0400-00004F020000}"/>
              </a:ext>
            </a:extLst>
          </xdr:cNvPr>
          <xdr:cNvSpPr/>
        </xdr:nvSpPr>
        <xdr:spPr>
          <a:xfrm>
            <a:off x="228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92" name="QRANDROID">
            <a:extLst>
              <a:ext uri="{FF2B5EF4-FFF2-40B4-BE49-F238E27FC236}">
                <a16:creationId xmlns:a16="http://schemas.microsoft.com/office/drawing/2014/main" id="{00000000-0008-0000-0400-000050020000}"/>
              </a:ext>
            </a:extLst>
          </xdr:cNvPr>
          <xdr:cNvSpPr/>
        </xdr:nvSpPr>
        <xdr:spPr>
          <a:xfrm>
            <a:off x="2540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93" name="QRANDROID">
            <a:extLst>
              <a:ext uri="{FF2B5EF4-FFF2-40B4-BE49-F238E27FC236}">
                <a16:creationId xmlns:a16="http://schemas.microsoft.com/office/drawing/2014/main" id="{00000000-0008-0000-0400-000051020000}"/>
              </a:ext>
            </a:extLst>
          </xdr:cNvPr>
          <xdr:cNvSpPr/>
        </xdr:nvSpPr>
        <xdr:spPr>
          <a:xfrm>
            <a:off x="292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94" name="QRANDROID">
            <a:extLst>
              <a:ext uri="{FF2B5EF4-FFF2-40B4-BE49-F238E27FC236}">
                <a16:creationId xmlns:a16="http://schemas.microsoft.com/office/drawing/2014/main" id="{00000000-0008-0000-0400-000052020000}"/>
              </a:ext>
            </a:extLst>
          </xdr:cNvPr>
          <xdr:cNvSpPr/>
        </xdr:nvSpPr>
        <xdr:spPr>
          <a:xfrm>
            <a:off x="355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95" name="QRANDROID">
            <a:extLst>
              <a:ext uri="{FF2B5EF4-FFF2-40B4-BE49-F238E27FC236}">
                <a16:creationId xmlns:a16="http://schemas.microsoft.com/office/drawing/2014/main" id="{00000000-0008-0000-0400-000053020000}"/>
              </a:ext>
            </a:extLst>
          </xdr:cNvPr>
          <xdr:cNvSpPr/>
        </xdr:nvSpPr>
        <xdr:spPr>
          <a:xfrm>
            <a:off x="3683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96" name="QRANDROID">
            <a:extLst>
              <a:ext uri="{FF2B5EF4-FFF2-40B4-BE49-F238E27FC236}">
                <a16:creationId xmlns:a16="http://schemas.microsoft.com/office/drawing/2014/main" id="{00000000-0008-0000-0400-000054020000}"/>
              </a:ext>
            </a:extLst>
          </xdr:cNvPr>
          <xdr:cNvSpPr/>
        </xdr:nvSpPr>
        <xdr:spPr>
          <a:xfrm>
            <a:off x="3810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97" name="QRANDROID">
            <a:extLst>
              <a:ext uri="{FF2B5EF4-FFF2-40B4-BE49-F238E27FC236}">
                <a16:creationId xmlns:a16="http://schemas.microsoft.com/office/drawing/2014/main" id="{00000000-0008-0000-0400-000055020000}"/>
              </a:ext>
            </a:extLst>
          </xdr:cNvPr>
          <xdr:cNvSpPr/>
        </xdr:nvSpPr>
        <xdr:spPr>
          <a:xfrm>
            <a:off x="393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98" name="QRANDROID">
            <a:extLst>
              <a:ext uri="{FF2B5EF4-FFF2-40B4-BE49-F238E27FC236}">
                <a16:creationId xmlns:a16="http://schemas.microsoft.com/office/drawing/2014/main" id="{00000000-0008-0000-0400-000056020000}"/>
              </a:ext>
            </a:extLst>
          </xdr:cNvPr>
          <xdr:cNvSpPr/>
        </xdr:nvSpPr>
        <xdr:spPr>
          <a:xfrm>
            <a:off x="406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99" name="QRANDROID">
            <a:extLst>
              <a:ext uri="{FF2B5EF4-FFF2-40B4-BE49-F238E27FC236}">
                <a16:creationId xmlns:a16="http://schemas.microsoft.com/office/drawing/2014/main" id="{00000000-0008-0000-0400-000057020000}"/>
              </a:ext>
            </a:extLst>
          </xdr:cNvPr>
          <xdr:cNvSpPr/>
        </xdr:nvSpPr>
        <xdr:spPr>
          <a:xfrm>
            <a:off x="419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00" name="QRANDROID">
            <a:extLst>
              <a:ext uri="{FF2B5EF4-FFF2-40B4-BE49-F238E27FC236}">
                <a16:creationId xmlns:a16="http://schemas.microsoft.com/office/drawing/2014/main" id="{00000000-0008-0000-0400-000058020000}"/>
              </a:ext>
            </a:extLst>
          </xdr:cNvPr>
          <xdr:cNvSpPr/>
        </xdr:nvSpPr>
        <xdr:spPr>
          <a:xfrm>
            <a:off x="444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01" name="QRANDROID">
            <a:extLst>
              <a:ext uri="{FF2B5EF4-FFF2-40B4-BE49-F238E27FC236}">
                <a16:creationId xmlns:a16="http://schemas.microsoft.com/office/drawing/2014/main" id="{00000000-0008-0000-0400-000059020000}"/>
              </a:ext>
            </a:extLst>
          </xdr:cNvPr>
          <xdr:cNvSpPr/>
        </xdr:nvSpPr>
        <xdr:spPr>
          <a:xfrm>
            <a:off x="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02" name="QRANDROID">
            <a:extLst>
              <a:ext uri="{FF2B5EF4-FFF2-40B4-BE49-F238E27FC236}">
                <a16:creationId xmlns:a16="http://schemas.microsoft.com/office/drawing/2014/main" id="{00000000-0008-0000-0400-00005A020000}"/>
              </a:ext>
            </a:extLst>
          </xdr:cNvPr>
          <xdr:cNvSpPr/>
        </xdr:nvSpPr>
        <xdr:spPr>
          <a:xfrm>
            <a:off x="254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03" name="QRANDROID">
            <a:extLst>
              <a:ext uri="{FF2B5EF4-FFF2-40B4-BE49-F238E27FC236}">
                <a16:creationId xmlns:a16="http://schemas.microsoft.com/office/drawing/2014/main" id="{00000000-0008-0000-0400-00005B020000}"/>
              </a:ext>
            </a:extLst>
          </xdr:cNvPr>
          <xdr:cNvSpPr/>
        </xdr:nvSpPr>
        <xdr:spPr>
          <a:xfrm>
            <a:off x="381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04" name="QRANDROID">
            <a:extLst>
              <a:ext uri="{FF2B5EF4-FFF2-40B4-BE49-F238E27FC236}">
                <a16:creationId xmlns:a16="http://schemas.microsoft.com/office/drawing/2014/main" id="{00000000-0008-0000-0400-00005C020000}"/>
              </a:ext>
            </a:extLst>
          </xdr:cNvPr>
          <xdr:cNvSpPr/>
        </xdr:nvSpPr>
        <xdr:spPr>
          <a:xfrm>
            <a:off x="508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05" name="QRANDROID">
            <a:extLst>
              <a:ext uri="{FF2B5EF4-FFF2-40B4-BE49-F238E27FC236}">
                <a16:creationId xmlns:a16="http://schemas.microsoft.com/office/drawing/2014/main" id="{00000000-0008-0000-0400-00005D020000}"/>
              </a:ext>
            </a:extLst>
          </xdr:cNvPr>
          <xdr:cNvSpPr/>
        </xdr:nvSpPr>
        <xdr:spPr>
          <a:xfrm>
            <a:off x="762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06" name="QRANDROID">
            <a:extLst>
              <a:ext uri="{FF2B5EF4-FFF2-40B4-BE49-F238E27FC236}">
                <a16:creationId xmlns:a16="http://schemas.microsoft.com/office/drawing/2014/main" id="{00000000-0008-0000-0400-00005E020000}"/>
              </a:ext>
            </a:extLst>
          </xdr:cNvPr>
          <xdr:cNvSpPr/>
        </xdr:nvSpPr>
        <xdr:spPr>
          <a:xfrm>
            <a:off x="1143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07" name="QRANDROID">
            <a:extLst>
              <a:ext uri="{FF2B5EF4-FFF2-40B4-BE49-F238E27FC236}">
                <a16:creationId xmlns:a16="http://schemas.microsoft.com/office/drawing/2014/main" id="{00000000-0008-0000-0400-00005F020000}"/>
              </a:ext>
            </a:extLst>
          </xdr:cNvPr>
          <xdr:cNvSpPr/>
        </xdr:nvSpPr>
        <xdr:spPr>
          <a:xfrm>
            <a:off x="1270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08" name="QRANDROID">
            <a:extLst>
              <a:ext uri="{FF2B5EF4-FFF2-40B4-BE49-F238E27FC236}">
                <a16:creationId xmlns:a16="http://schemas.microsoft.com/office/drawing/2014/main" id="{00000000-0008-0000-0400-000060020000}"/>
              </a:ext>
            </a:extLst>
          </xdr:cNvPr>
          <xdr:cNvSpPr/>
        </xdr:nvSpPr>
        <xdr:spPr>
          <a:xfrm>
            <a:off x="1397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09" name="QRANDROID">
            <a:extLst>
              <a:ext uri="{FF2B5EF4-FFF2-40B4-BE49-F238E27FC236}">
                <a16:creationId xmlns:a16="http://schemas.microsoft.com/office/drawing/2014/main" id="{00000000-0008-0000-0400-000061020000}"/>
              </a:ext>
            </a:extLst>
          </xdr:cNvPr>
          <xdr:cNvSpPr/>
        </xdr:nvSpPr>
        <xdr:spPr>
          <a:xfrm>
            <a:off x="1651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10" name="QRANDROID">
            <a:extLst>
              <a:ext uri="{FF2B5EF4-FFF2-40B4-BE49-F238E27FC236}">
                <a16:creationId xmlns:a16="http://schemas.microsoft.com/office/drawing/2014/main" id="{00000000-0008-0000-0400-000062020000}"/>
              </a:ext>
            </a:extLst>
          </xdr:cNvPr>
          <xdr:cNvSpPr/>
        </xdr:nvSpPr>
        <xdr:spPr>
          <a:xfrm>
            <a:off x="1778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11" name="QRANDROID">
            <a:extLst>
              <a:ext uri="{FF2B5EF4-FFF2-40B4-BE49-F238E27FC236}">
                <a16:creationId xmlns:a16="http://schemas.microsoft.com/office/drawing/2014/main" id="{00000000-0008-0000-0400-000063020000}"/>
              </a:ext>
            </a:extLst>
          </xdr:cNvPr>
          <xdr:cNvSpPr/>
        </xdr:nvSpPr>
        <xdr:spPr>
          <a:xfrm>
            <a:off x="2032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12" name="QRANDROID">
            <a:extLst>
              <a:ext uri="{FF2B5EF4-FFF2-40B4-BE49-F238E27FC236}">
                <a16:creationId xmlns:a16="http://schemas.microsoft.com/office/drawing/2014/main" id="{00000000-0008-0000-0400-000064020000}"/>
              </a:ext>
            </a:extLst>
          </xdr:cNvPr>
          <xdr:cNvSpPr/>
        </xdr:nvSpPr>
        <xdr:spPr>
          <a:xfrm>
            <a:off x="2413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13" name="QRANDROID">
            <a:extLst>
              <a:ext uri="{FF2B5EF4-FFF2-40B4-BE49-F238E27FC236}">
                <a16:creationId xmlns:a16="http://schemas.microsoft.com/office/drawing/2014/main" id="{00000000-0008-0000-0400-000065020000}"/>
              </a:ext>
            </a:extLst>
          </xdr:cNvPr>
          <xdr:cNvSpPr/>
        </xdr:nvSpPr>
        <xdr:spPr>
          <a:xfrm>
            <a:off x="2540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14" name="QRANDROID">
            <a:extLst>
              <a:ext uri="{FF2B5EF4-FFF2-40B4-BE49-F238E27FC236}">
                <a16:creationId xmlns:a16="http://schemas.microsoft.com/office/drawing/2014/main" id="{00000000-0008-0000-0400-000066020000}"/>
              </a:ext>
            </a:extLst>
          </xdr:cNvPr>
          <xdr:cNvSpPr/>
        </xdr:nvSpPr>
        <xdr:spPr>
          <a:xfrm>
            <a:off x="2921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15" name="QRANDROID">
            <a:extLst>
              <a:ext uri="{FF2B5EF4-FFF2-40B4-BE49-F238E27FC236}">
                <a16:creationId xmlns:a16="http://schemas.microsoft.com/office/drawing/2014/main" id="{00000000-0008-0000-0400-000067020000}"/>
              </a:ext>
            </a:extLst>
          </xdr:cNvPr>
          <xdr:cNvSpPr/>
        </xdr:nvSpPr>
        <xdr:spPr>
          <a:xfrm>
            <a:off x="3048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16" name="QRANDROID">
            <a:extLst>
              <a:ext uri="{FF2B5EF4-FFF2-40B4-BE49-F238E27FC236}">
                <a16:creationId xmlns:a16="http://schemas.microsoft.com/office/drawing/2014/main" id="{00000000-0008-0000-0400-000068020000}"/>
              </a:ext>
            </a:extLst>
          </xdr:cNvPr>
          <xdr:cNvSpPr/>
        </xdr:nvSpPr>
        <xdr:spPr>
          <a:xfrm>
            <a:off x="3302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17" name="QRANDROID">
            <a:extLst>
              <a:ext uri="{FF2B5EF4-FFF2-40B4-BE49-F238E27FC236}">
                <a16:creationId xmlns:a16="http://schemas.microsoft.com/office/drawing/2014/main" id="{00000000-0008-0000-0400-000069020000}"/>
              </a:ext>
            </a:extLst>
          </xdr:cNvPr>
          <xdr:cNvSpPr/>
        </xdr:nvSpPr>
        <xdr:spPr>
          <a:xfrm>
            <a:off x="3556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18" name="QRANDROID">
            <a:extLst>
              <a:ext uri="{FF2B5EF4-FFF2-40B4-BE49-F238E27FC236}">
                <a16:creationId xmlns:a16="http://schemas.microsoft.com/office/drawing/2014/main" id="{00000000-0008-0000-0400-00006A020000}"/>
              </a:ext>
            </a:extLst>
          </xdr:cNvPr>
          <xdr:cNvSpPr/>
        </xdr:nvSpPr>
        <xdr:spPr>
          <a:xfrm>
            <a:off x="3937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19" name="QRANDROID">
            <a:extLst>
              <a:ext uri="{FF2B5EF4-FFF2-40B4-BE49-F238E27FC236}">
                <a16:creationId xmlns:a16="http://schemas.microsoft.com/office/drawing/2014/main" id="{00000000-0008-0000-0400-00006B020000}"/>
              </a:ext>
            </a:extLst>
          </xdr:cNvPr>
          <xdr:cNvSpPr/>
        </xdr:nvSpPr>
        <xdr:spPr>
          <a:xfrm>
            <a:off x="4064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20" name="QRANDROID">
            <a:extLst>
              <a:ext uri="{FF2B5EF4-FFF2-40B4-BE49-F238E27FC236}">
                <a16:creationId xmlns:a16="http://schemas.microsoft.com/office/drawing/2014/main" id="{00000000-0008-0000-0400-00006C020000}"/>
              </a:ext>
            </a:extLst>
          </xdr:cNvPr>
          <xdr:cNvSpPr/>
        </xdr:nvSpPr>
        <xdr:spPr>
          <a:xfrm>
            <a:off x="4191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21" name="QRANDROID">
            <a:extLst>
              <a:ext uri="{FF2B5EF4-FFF2-40B4-BE49-F238E27FC236}">
                <a16:creationId xmlns:a16="http://schemas.microsoft.com/office/drawing/2014/main" id="{00000000-0008-0000-0400-00006D020000}"/>
              </a:ext>
            </a:extLst>
          </xdr:cNvPr>
          <xdr:cNvSpPr/>
        </xdr:nvSpPr>
        <xdr:spPr>
          <a:xfrm>
            <a:off x="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22" name="QRANDROID">
            <a:extLst>
              <a:ext uri="{FF2B5EF4-FFF2-40B4-BE49-F238E27FC236}">
                <a16:creationId xmlns:a16="http://schemas.microsoft.com/office/drawing/2014/main" id="{00000000-0008-0000-0400-00006E020000}"/>
              </a:ext>
            </a:extLst>
          </xdr:cNvPr>
          <xdr:cNvSpPr/>
        </xdr:nvSpPr>
        <xdr:spPr>
          <a:xfrm>
            <a:off x="254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23" name="QRANDROID">
            <a:extLst>
              <a:ext uri="{FF2B5EF4-FFF2-40B4-BE49-F238E27FC236}">
                <a16:creationId xmlns:a16="http://schemas.microsoft.com/office/drawing/2014/main" id="{00000000-0008-0000-0400-00006F020000}"/>
              </a:ext>
            </a:extLst>
          </xdr:cNvPr>
          <xdr:cNvSpPr/>
        </xdr:nvSpPr>
        <xdr:spPr>
          <a:xfrm>
            <a:off x="381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24" name="QRANDROID">
            <a:extLst>
              <a:ext uri="{FF2B5EF4-FFF2-40B4-BE49-F238E27FC236}">
                <a16:creationId xmlns:a16="http://schemas.microsoft.com/office/drawing/2014/main" id="{00000000-0008-0000-0400-000070020000}"/>
              </a:ext>
            </a:extLst>
          </xdr:cNvPr>
          <xdr:cNvSpPr/>
        </xdr:nvSpPr>
        <xdr:spPr>
          <a:xfrm>
            <a:off x="508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25" name="QRANDROID">
            <a:extLst>
              <a:ext uri="{FF2B5EF4-FFF2-40B4-BE49-F238E27FC236}">
                <a16:creationId xmlns:a16="http://schemas.microsoft.com/office/drawing/2014/main" id="{00000000-0008-0000-0400-000071020000}"/>
              </a:ext>
            </a:extLst>
          </xdr:cNvPr>
          <xdr:cNvSpPr/>
        </xdr:nvSpPr>
        <xdr:spPr>
          <a:xfrm>
            <a:off x="762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26" name="QRANDROID">
            <a:extLst>
              <a:ext uri="{FF2B5EF4-FFF2-40B4-BE49-F238E27FC236}">
                <a16:creationId xmlns:a16="http://schemas.microsoft.com/office/drawing/2014/main" id="{00000000-0008-0000-0400-000072020000}"/>
              </a:ext>
            </a:extLst>
          </xdr:cNvPr>
          <xdr:cNvSpPr/>
        </xdr:nvSpPr>
        <xdr:spPr>
          <a:xfrm>
            <a:off x="1016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27" name="QRANDROID">
            <a:extLst>
              <a:ext uri="{FF2B5EF4-FFF2-40B4-BE49-F238E27FC236}">
                <a16:creationId xmlns:a16="http://schemas.microsoft.com/office/drawing/2014/main" id="{00000000-0008-0000-0400-000073020000}"/>
              </a:ext>
            </a:extLst>
          </xdr:cNvPr>
          <xdr:cNvSpPr/>
        </xdr:nvSpPr>
        <xdr:spPr>
          <a:xfrm>
            <a:off x="1270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28" name="QRANDROID">
            <a:extLst>
              <a:ext uri="{FF2B5EF4-FFF2-40B4-BE49-F238E27FC236}">
                <a16:creationId xmlns:a16="http://schemas.microsoft.com/office/drawing/2014/main" id="{00000000-0008-0000-0400-000074020000}"/>
              </a:ext>
            </a:extLst>
          </xdr:cNvPr>
          <xdr:cNvSpPr/>
        </xdr:nvSpPr>
        <xdr:spPr>
          <a:xfrm>
            <a:off x="1524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29" name="QRANDROID">
            <a:extLst>
              <a:ext uri="{FF2B5EF4-FFF2-40B4-BE49-F238E27FC236}">
                <a16:creationId xmlns:a16="http://schemas.microsoft.com/office/drawing/2014/main" id="{00000000-0008-0000-0400-000075020000}"/>
              </a:ext>
            </a:extLst>
          </xdr:cNvPr>
          <xdr:cNvSpPr/>
        </xdr:nvSpPr>
        <xdr:spPr>
          <a:xfrm>
            <a:off x="1651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30" name="QRANDROID">
            <a:extLst>
              <a:ext uri="{FF2B5EF4-FFF2-40B4-BE49-F238E27FC236}">
                <a16:creationId xmlns:a16="http://schemas.microsoft.com/office/drawing/2014/main" id="{00000000-0008-0000-0400-000076020000}"/>
              </a:ext>
            </a:extLst>
          </xdr:cNvPr>
          <xdr:cNvSpPr/>
        </xdr:nvSpPr>
        <xdr:spPr>
          <a:xfrm>
            <a:off x="2032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31" name="QRANDROID">
            <a:extLst>
              <a:ext uri="{FF2B5EF4-FFF2-40B4-BE49-F238E27FC236}">
                <a16:creationId xmlns:a16="http://schemas.microsoft.com/office/drawing/2014/main" id="{00000000-0008-0000-0400-000077020000}"/>
              </a:ext>
            </a:extLst>
          </xdr:cNvPr>
          <xdr:cNvSpPr/>
        </xdr:nvSpPr>
        <xdr:spPr>
          <a:xfrm>
            <a:off x="2159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32" name="QRANDROID">
            <a:extLst>
              <a:ext uri="{FF2B5EF4-FFF2-40B4-BE49-F238E27FC236}">
                <a16:creationId xmlns:a16="http://schemas.microsoft.com/office/drawing/2014/main" id="{00000000-0008-0000-0400-000078020000}"/>
              </a:ext>
            </a:extLst>
          </xdr:cNvPr>
          <xdr:cNvSpPr/>
        </xdr:nvSpPr>
        <xdr:spPr>
          <a:xfrm>
            <a:off x="2540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33" name="QRANDROID">
            <a:extLst>
              <a:ext uri="{FF2B5EF4-FFF2-40B4-BE49-F238E27FC236}">
                <a16:creationId xmlns:a16="http://schemas.microsoft.com/office/drawing/2014/main" id="{00000000-0008-0000-0400-000079020000}"/>
              </a:ext>
            </a:extLst>
          </xdr:cNvPr>
          <xdr:cNvSpPr/>
        </xdr:nvSpPr>
        <xdr:spPr>
          <a:xfrm>
            <a:off x="2667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34" name="QRANDROID">
            <a:extLst>
              <a:ext uri="{FF2B5EF4-FFF2-40B4-BE49-F238E27FC236}">
                <a16:creationId xmlns:a16="http://schemas.microsoft.com/office/drawing/2014/main" id="{00000000-0008-0000-0400-00007A020000}"/>
              </a:ext>
            </a:extLst>
          </xdr:cNvPr>
          <xdr:cNvSpPr/>
        </xdr:nvSpPr>
        <xdr:spPr>
          <a:xfrm>
            <a:off x="3175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35" name="QRANDROID">
            <a:extLst>
              <a:ext uri="{FF2B5EF4-FFF2-40B4-BE49-F238E27FC236}">
                <a16:creationId xmlns:a16="http://schemas.microsoft.com/office/drawing/2014/main" id="{00000000-0008-0000-0400-00007B020000}"/>
              </a:ext>
            </a:extLst>
          </xdr:cNvPr>
          <xdr:cNvSpPr/>
        </xdr:nvSpPr>
        <xdr:spPr>
          <a:xfrm>
            <a:off x="3429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36" name="QRANDROID">
            <a:extLst>
              <a:ext uri="{FF2B5EF4-FFF2-40B4-BE49-F238E27FC236}">
                <a16:creationId xmlns:a16="http://schemas.microsoft.com/office/drawing/2014/main" id="{00000000-0008-0000-0400-00007C020000}"/>
              </a:ext>
            </a:extLst>
          </xdr:cNvPr>
          <xdr:cNvSpPr/>
        </xdr:nvSpPr>
        <xdr:spPr>
          <a:xfrm>
            <a:off x="3556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37" name="QRANDROID">
            <a:extLst>
              <a:ext uri="{FF2B5EF4-FFF2-40B4-BE49-F238E27FC236}">
                <a16:creationId xmlns:a16="http://schemas.microsoft.com/office/drawing/2014/main" id="{00000000-0008-0000-0400-00007D020000}"/>
              </a:ext>
            </a:extLst>
          </xdr:cNvPr>
          <xdr:cNvSpPr/>
        </xdr:nvSpPr>
        <xdr:spPr>
          <a:xfrm>
            <a:off x="4064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38" name="QRANDROID">
            <a:extLst>
              <a:ext uri="{FF2B5EF4-FFF2-40B4-BE49-F238E27FC236}">
                <a16:creationId xmlns:a16="http://schemas.microsoft.com/office/drawing/2014/main" id="{00000000-0008-0000-0400-00007E020000}"/>
              </a:ext>
            </a:extLst>
          </xdr:cNvPr>
          <xdr:cNvSpPr/>
        </xdr:nvSpPr>
        <xdr:spPr>
          <a:xfrm>
            <a:off x="4191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39" name="QRANDROID">
            <a:extLst>
              <a:ext uri="{FF2B5EF4-FFF2-40B4-BE49-F238E27FC236}">
                <a16:creationId xmlns:a16="http://schemas.microsoft.com/office/drawing/2014/main" id="{00000000-0008-0000-0400-00007F020000}"/>
              </a:ext>
            </a:extLst>
          </xdr:cNvPr>
          <xdr:cNvSpPr/>
        </xdr:nvSpPr>
        <xdr:spPr>
          <a:xfrm>
            <a:off x="4318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40" name="QRANDROID">
            <a:extLst>
              <a:ext uri="{FF2B5EF4-FFF2-40B4-BE49-F238E27FC236}">
                <a16:creationId xmlns:a16="http://schemas.microsoft.com/office/drawing/2014/main" id="{00000000-0008-0000-0400-000080020000}"/>
              </a:ext>
            </a:extLst>
          </xdr:cNvPr>
          <xdr:cNvSpPr/>
        </xdr:nvSpPr>
        <xdr:spPr>
          <a:xfrm>
            <a:off x="4445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41" name="QRANDROID">
            <a:extLst>
              <a:ext uri="{FF2B5EF4-FFF2-40B4-BE49-F238E27FC236}">
                <a16:creationId xmlns:a16="http://schemas.microsoft.com/office/drawing/2014/main" id="{00000000-0008-0000-0400-000081020000}"/>
              </a:ext>
            </a:extLst>
          </xdr:cNvPr>
          <xdr:cNvSpPr/>
        </xdr:nvSpPr>
        <xdr:spPr>
          <a:xfrm>
            <a:off x="4572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42" name="QRANDROID">
            <a:extLst>
              <a:ext uri="{FF2B5EF4-FFF2-40B4-BE49-F238E27FC236}">
                <a16:creationId xmlns:a16="http://schemas.microsoft.com/office/drawing/2014/main" id="{00000000-0008-0000-0400-000082020000}"/>
              </a:ext>
            </a:extLst>
          </xdr:cNvPr>
          <xdr:cNvSpPr/>
        </xdr:nvSpPr>
        <xdr:spPr>
          <a:xfrm>
            <a:off x="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43" name="QRANDROID">
            <a:extLst>
              <a:ext uri="{FF2B5EF4-FFF2-40B4-BE49-F238E27FC236}">
                <a16:creationId xmlns:a16="http://schemas.microsoft.com/office/drawing/2014/main" id="{00000000-0008-0000-0400-000083020000}"/>
              </a:ext>
            </a:extLst>
          </xdr:cNvPr>
          <xdr:cNvSpPr/>
        </xdr:nvSpPr>
        <xdr:spPr>
          <a:xfrm>
            <a:off x="762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44" name="QRANDROID">
            <a:extLst>
              <a:ext uri="{FF2B5EF4-FFF2-40B4-BE49-F238E27FC236}">
                <a16:creationId xmlns:a16="http://schemas.microsoft.com/office/drawing/2014/main" id="{00000000-0008-0000-0400-000084020000}"/>
              </a:ext>
            </a:extLst>
          </xdr:cNvPr>
          <xdr:cNvSpPr/>
        </xdr:nvSpPr>
        <xdr:spPr>
          <a:xfrm>
            <a:off x="1270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45" name="QRANDROID">
            <a:extLst>
              <a:ext uri="{FF2B5EF4-FFF2-40B4-BE49-F238E27FC236}">
                <a16:creationId xmlns:a16="http://schemas.microsoft.com/office/drawing/2014/main" id="{00000000-0008-0000-0400-000085020000}"/>
              </a:ext>
            </a:extLst>
          </xdr:cNvPr>
          <xdr:cNvSpPr/>
        </xdr:nvSpPr>
        <xdr:spPr>
          <a:xfrm>
            <a:off x="1397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46" name="QRANDROID">
            <a:extLst>
              <a:ext uri="{FF2B5EF4-FFF2-40B4-BE49-F238E27FC236}">
                <a16:creationId xmlns:a16="http://schemas.microsoft.com/office/drawing/2014/main" id="{00000000-0008-0000-0400-000086020000}"/>
              </a:ext>
            </a:extLst>
          </xdr:cNvPr>
          <xdr:cNvSpPr/>
        </xdr:nvSpPr>
        <xdr:spPr>
          <a:xfrm>
            <a:off x="1651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47" name="QRANDROID">
            <a:extLst>
              <a:ext uri="{FF2B5EF4-FFF2-40B4-BE49-F238E27FC236}">
                <a16:creationId xmlns:a16="http://schemas.microsoft.com/office/drawing/2014/main" id="{00000000-0008-0000-0400-000087020000}"/>
              </a:ext>
            </a:extLst>
          </xdr:cNvPr>
          <xdr:cNvSpPr/>
        </xdr:nvSpPr>
        <xdr:spPr>
          <a:xfrm>
            <a:off x="1778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48" name="QRANDROID">
            <a:extLst>
              <a:ext uri="{FF2B5EF4-FFF2-40B4-BE49-F238E27FC236}">
                <a16:creationId xmlns:a16="http://schemas.microsoft.com/office/drawing/2014/main" id="{00000000-0008-0000-0400-000088020000}"/>
              </a:ext>
            </a:extLst>
          </xdr:cNvPr>
          <xdr:cNvSpPr/>
        </xdr:nvSpPr>
        <xdr:spPr>
          <a:xfrm>
            <a:off x="2032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49" name="QRANDROID">
            <a:extLst>
              <a:ext uri="{FF2B5EF4-FFF2-40B4-BE49-F238E27FC236}">
                <a16:creationId xmlns:a16="http://schemas.microsoft.com/office/drawing/2014/main" id="{00000000-0008-0000-0400-000089020000}"/>
              </a:ext>
            </a:extLst>
          </xdr:cNvPr>
          <xdr:cNvSpPr/>
        </xdr:nvSpPr>
        <xdr:spPr>
          <a:xfrm>
            <a:off x="2159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50" name="QRANDROID">
            <a:extLst>
              <a:ext uri="{FF2B5EF4-FFF2-40B4-BE49-F238E27FC236}">
                <a16:creationId xmlns:a16="http://schemas.microsoft.com/office/drawing/2014/main" id="{00000000-0008-0000-0400-00008A020000}"/>
              </a:ext>
            </a:extLst>
          </xdr:cNvPr>
          <xdr:cNvSpPr/>
        </xdr:nvSpPr>
        <xdr:spPr>
          <a:xfrm>
            <a:off x="2286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51" name="QRANDROID">
            <a:extLst>
              <a:ext uri="{FF2B5EF4-FFF2-40B4-BE49-F238E27FC236}">
                <a16:creationId xmlns:a16="http://schemas.microsoft.com/office/drawing/2014/main" id="{00000000-0008-0000-0400-00008B020000}"/>
              </a:ext>
            </a:extLst>
          </xdr:cNvPr>
          <xdr:cNvSpPr/>
        </xdr:nvSpPr>
        <xdr:spPr>
          <a:xfrm>
            <a:off x="2540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52" name="QRANDROID">
            <a:extLst>
              <a:ext uri="{FF2B5EF4-FFF2-40B4-BE49-F238E27FC236}">
                <a16:creationId xmlns:a16="http://schemas.microsoft.com/office/drawing/2014/main" id="{00000000-0008-0000-0400-00008C020000}"/>
              </a:ext>
            </a:extLst>
          </xdr:cNvPr>
          <xdr:cNvSpPr/>
        </xdr:nvSpPr>
        <xdr:spPr>
          <a:xfrm>
            <a:off x="2667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53" name="QRANDROID">
            <a:extLst>
              <a:ext uri="{FF2B5EF4-FFF2-40B4-BE49-F238E27FC236}">
                <a16:creationId xmlns:a16="http://schemas.microsoft.com/office/drawing/2014/main" id="{00000000-0008-0000-0400-00008D020000}"/>
              </a:ext>
            </a:extLst>
          </xdr:cNvPr>
          <xdr:cNvSpPr/>
        </xdr:nvSpPr>
        <xdr:spPr>
          <a:xfrm>
            <a:off x="2794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54" name="QRANDROID">
            <a:extLst>
              <a:ext uri="{FF2B5EF4-FFF2-40B4-BE49-F238E27FC236}">
                <a16:creationId xmlns:a16="http://schemas.microsoft.com/office/drawing/2014/main" id="{00000000-0008-0000-0400-00008E020000}"/>
              </a:ext>
            </a:extLst>
          </xdr:cNvPr>
          <xdr:cNvSpPr/>
        </xdr:nvSpPr>
        <xdr:spPr>
          <a:xfrm>
            <a:off x="3048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55" name="QRANDROID">
            <a:extLst>
              <a:ext uri="{FF2B5EF4-FFF2-40B4-BE49-F238E27FC236}">
                <a16:creationId xmlns:a16="http://schemas.microsoft.com/office/drawing/2014/main" id="{00000000-0008-0000-0400-00008F020000}"/>
              </a:ext>
            </a:extLst>
          </xdr:cNvPr>
          <xdr:cNvSpPr/>
        </xdr:nvSpPr>
        <xdr:spPr>
          <a:xfrm>
            <a:off x="3175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56" name="QRANDROID">
            <a:extLst>
              <a:ext uri="{FF2B5EF4-FFF2-40B4-BE49-F238E27FC236}">
                <a16:creationId xmlns:a16="http://schemas.microsoft.com/office/drawing/2014/main" id="{00000000-0008-0000-0400-000090020000}"/>
              </a:ext>
            </a:extLst>
          </xdr:cNvPr>
          <xdr:cNvSpPr/>
        </xdr:nvSpPr>
        <xdr:spPr>
          <a:xfrm>
            <a:off x="3683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57" name="QRANDROID">
            <a:extLst>
              <a:ext uri="{FF2B5EF4-FFF2-40B4-BE49-F238E27FC236}">
                <a16:creationId xmlns:a16="http://schemas.microsoft.com/office/drawing/2014/main" id="{00000000-0008-0000-0400-000091020000}"/>
              </a:ext>
            </a:extLst>
          </xdr:cNvPr>
          <xdr:cNvSpPr/>
        </xdr:nvSpPr>
        <xdr:spPr>
          <a:xfrm>
            <a:off x="3937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58" name="QRANDROID">
            <a:extLst>
              <a:ext uri="{FF2B5EF4-FFF2-40B4-BE49-F238E27FC236}">
                <a16:creationId xmlns:a16="http://schemas.microsoft.com/office/drawing/2014/main" id="{00000000-0008-0000-0400-000092020000}"/>
              </a:ext>
            </a:extLst>
          </xdr:cNvPr>
          <xdr:cNvSpPr/>
        </xdr:nvSpPr>
        <xdr:spPr>
          <a:xfrm>
            <a:off x="4064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59" name="QRANDROID">
            <a:extLst>
              <a:ext uri="{FF2B5EF4-FFF2-40B4-BE49-F238E27FC236}">
                <a16:creationId xmlns:a16="http://schemas.microsoft.com/office/drawing/2014/main" id="{00000000-0008-0000-0400-000093020000}"/>
              </a:ext>
            </a:extLst>
          </xdr:cNvPr>
          <xdr:cNvSpPr/>
        </xdr:nvSpPr>
        <xdr:spPr>
          <a:xfrm>
            <a:off x="4445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60" name="QRANDROID">
            <a:extLst>
              <a:ext uri="{FF2B5EF4-FFF2-40B4-BE49-F238E27FC236}">
                <a16:creationId xmlns:a16="http://schemas.microsoft.com/office/drawing/2014/main" id="{00000000-0008-0000-0400-000094020000}"/>
              </a:ext>
            </a:extLst>
          </xdr:cNvPr>
          <xdr:cNvSpPr/>
        </xdr:nvSpPr>
        <xdr:spPr>
          <a:xfrm>
            <a:off x="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61" name="QRANDROID">
            <a:extLst>
              <a:ext uri="{FF2B5EF4-FFF2-40B4-BE49-F238E27FC236}">
                <a16:creationId xmlns:a16="http://schemas.microsoft.com/office/drawing/2014/main" id="{00000000-0008-0000-0400-000095020000}"/>
              </a:ext>
            </a:extLst>
          </xdr:cNvPr>
          <xdr:cNvSpPr/>
        </xdr:nvSpPr>
        <xdr:spPr>
          <a:xfrm>
            <a:off x="127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62" name="QRANDROID">
            <a:extLst>
              <a:ext uri="{FF2B5EF4-FFF2-40B4-BE49-F238E27FC236}">
                <a16:creationId xmlns:a16="http://schemas.microsoft.com/office/drawing/2014/main" id="{00000000-0008-0000-0400-000096020000}"/>
              </a:ext>
            </a:extLst>
          </xdr:cNvPr>
          <xdr:cNvSpPr/>
        </xdr:nvSpPr>
        <xdr:spPr>
          <a:xfrm>
            <a:off x="254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63" name="QRANDROID">
            <a:extLst>
              <a:ext uri="{FF2B5EF4-FFF2-40B4-BE49-F238E27FC236}">
                <a16:creationId xmlns:a16="http://schemas.microsoft.com/office/drawing/2014/main" id="{00000000-0008-0000-0400-000097020000}"/>
              </a:ext>
            </a:extLst>
          </xdr:cNvPr>
          <xdr:cNvSpPr/>
        </xdr:nvSpPr>
        <xdr:spPr>
          <a:xfrm>
            <a:off x="381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64" name="QRANDROID">
            <a:extLst>
              <a:ext uri="{FF2B5EF4-FFF2-40B4-BE49-F238E27FC236}">
                <a16:creationId xmlns:a16="http://schemas.microsoft.com/office/drawing/2014/main" id="{00000000-0008-0000-0400-000098020000}"/>
              </a:ext>
            </a:extLst>
          </xdr:cNvPr>
          <xdr:cNvSpPr/>
        </xdr:nvSpPr>
        <xdr:spPr>
          <a:xfrm>
            <a:off x="508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65" name="QRANDROID">
            <a:extLst>
              <a:ext uri="{FF2B5EF4-FFF2-40B4-BE49-F238E27FC236}">
                <a16:creationId xmlns:a16="http://schemas.microsoft.com/office/drawing/2014/main" id="{00000000-0008-0000-0400-000099020000}"/>
              </a:ext>
            </a:extLst>
          </xdr:cNvPr>
          <xdr:cNvSpPr/>
        </xdr:nvSpPr>
        <xdr:spPr>
          <a:xfrm>
            <a:off x="635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66" name="QRANDROID">
            <a:extLst>
              <a:ext uri="{FF2B5EF4-FFF2-40B4-BE49-F238E27FC236}">
                <a16:creationId xmlns:a16="http://schemas.microsoft.com/office/drawing/2014/main" id="{00000000-0008-0000-0400-00009A020000}"/>
              </a:ext>
            </a:extLst>
          </xdr:cNvPr>
          <xdr:cNvSpPr/>
        </xdr:nvSpPr>
        <xdr:spPr>
          <a:xfrm>
            <a:off x="762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67" name="QRANDROID">
            <a:extLst>
              <a:ext uri="{FF2B5EF4-FFF2-40B4-BE49-F238E27FC236}">
                <a16:creationId xmlns:a16="http://schemas.microsoft.com/office/drawing/2014/main" id="{00000000-0008-0000-0400-00009B020000}"/>
              </a:ext>
            </a:extLst>
          </xdr:cNvPr>
          <xdr:cNvSpPr/>
        </xdr:nvSpPr>
        <xdr:spPr>
          <a:xfrm>
            <a:off x="1016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68" name="QRANDROID">
            <a:extLst>
              <a:ext uri="{FF2B5EF4-FFF2-40B4-BE49-F238E27FC236}">
                <a16:creationId xmlns:a16="http://schemas.microsoft.com/office/drawing/2014/main" id="{00000000-0008-0000-0400-00009C020000}"/>
              </a:ext>
            </a:extLst>
          </xdr:cNvPr>
          <xdr:cNvSpPr/>
        </xdr:nvSpPr>
        <xdr:spPr>
          <a:xfrm>
            <a:off x="1270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69" name="QRANDROID">
            <a:extLst>
              <a:ext uri="{FF2B5EF4-FFF2-40B4-BE49-F238E27FC236}">
                <a16:creationId xmlns:a16="http://schemas.microsoft.com/office/drawing/2014/main" id="{00000000-0008-0000-0400-00009D020000}"/>
              </a:ext>
            </a:extLst>
          </xdr:cNvPr>
          <xdr:cNvSpPr/>
        </xdr:nvSpPr>
        <xdr:spPr>
          <a:xfrm>
            <a:off x="1397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70" name="QRANDROID">
            <a:extLst>
              <a:ext uri="{FF2B5EF4-FFF2-40B4-BE49-F238E27FC236}">
                <a16:creationId xmlns:a16="http://schemas.microsoft.com/office/drawing/2014/main" id="{00000000-0008-0000-0400-00009E020000}"/>
              </a:ext>
            </a:extLst>
          </xdr:cNvPr>
          <xdr:cNvSpPr/>
        </xdr:nvSpPr>
        <xdr:spPr>
          <a:xfrm>
            <a:off x="1651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71" name="QRANDROID">
            <a:extLst>
              <a:ext uri="{FF2B5EF4-FFF2-40B4-BE49-F238E27FC236}">
                <a16:creationId xmlns:a16="http://schemas.microsoft.com/office/drawing/2014/main" id="{00000000-0008-0000-0400-00009F020000}"/>
              </a:ext>
            </a:extLst>
          </xdr:cNvPr>
          <xdr:cNvSpPr/>
        </xdr:nvSpPr>
        <xdr:spPr>
          <a:xfrm>
            <a:off x="1778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72" name="QRANDROID">
            <a:extLst>
              <a:ext uri="{FF2B5EF4-FFF2-40B4-BE49-F238E27FC236}">
                <a16:creationId xmlns:a16="http://schemas.microsoft.com/office/drawing/2014/main" id="{00000000-0008-0000-0400-0000A0020000}"/>
              </a:ext>
            </a:extLst>
          </xdr:cNvPr>
          <xdr:cNvSpPr/>
        </xdr:nvSpPr>
        <xdr:spPr>
          <a:xfrm>
            <a:off x="1905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73" name="QRANDROID">
            <a:extLst>
              <a:ext uri="{FF2B5EF4-FFF2-40B4-BE49-F238E27FC236}">
                <a16:creationId xmlns:a16="http://schemas.microsoft.com/office/drawing/2014/main" id="{00000000-0008-0000-0400-0000A1020000}"/>
              </a:ext>
            </a:extLst>
          </xdr:cNvPr>
          <xdr:cNvSpPr/>
        </xdr:nvSpPr>
        <xdr:spPr>
          <a:xfrm>
            <a:off x="2032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74" name="QRANDROID">
            <a:extLst>
              <a:ext uri="{FF2B5EF4-FFF2-40B4-BE49-F238E27FC236}">
                <a16:creationId xmlns:a16="http://schemas.microsoft.com/office/drawing/2014/main" id="{00000000-0008-0000-0400-0000A2020000}"/>
              </a:ext>
            </a:extLst>
          </xdr:cNvPr>
          <xdr:cNvSpPr/>
        </xdr:nvSpPr>
        <xdr:spPr>
          <a:xfrm>
            <a:off x="2413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75" name="QRANDROID">
            <a:extLst>
              <a:ext uri="{FF2B5EF4-FFF2-40B4-BE49-F238E27FC236}">
                <a16:creationId xmlns:a16="http://schemas.microsoft.com/office/drawing/2014/main" id="{00000000-0008-0000-0400-0000A3020000}"/>
              </a:ext>
            </a:extLst>
          </xdr:cNvPr>
          <xdr:cNvSpPr/>
        </xdr:nvSpPr>
        <xdr:spPr>
          <a:xfrm>
            <a:off x="2921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76" name="QRANDROID">
            <a:extLst>
              <a:ext uri="{FF2B5EF4-FFF2-40B4-BE49-F238E27FC236}">
                <a16:creationId xmlns:a16="http://schemas.microsoft.com/office/drawing/2014/main" id="{00000000-0008-0000-0400-0000A4020000}"/>
              </a:ext>
            </a:extLst>
          </xdr:cNvPr>
          <xdr:cNvSpPr/>
        </xdr:nvSpPr>
        <xdr:spPr>
          <a:xfrm>
            <a:off x="3048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77" name="QRANDROID">
            <a:extLst>
              <a:ext uri="{FF2B5EF4-FFF2-40B4-BE49-F238E27FC236}">
                <a16:creationId xmlns:a16="http://schemas.microsoft.com/office/drawing/2014/main" id="{00000000-0008-0000-0400-0000A5020000}"/>
              </a:ext>
            </a:extLst>
          </xdr:cNvPr>
          <xdr:cNvSpPr/>
        </xdr:nvSpPr>
        <xdr:spPr>
          <a:xfrm>
            <a:off x="3175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78" name="QRANDROID">
            <a:extLst>
              <a:ext uri="{FF2B5EF4-FFF2-40B4-BE49-F238E27FC236}">
                <a16:creationId xmlns:a16="http://schemas.microsoft.com/office/drawing/2014/main" id="{00000000-0008-0000-0400-0000A6020000}"/>
              </a:ext>
            </a:extLst>
          </xdr:cNvPr>
          <xdr:cNvSpPr/>
        </xdr:nvSpPr>
        <xdr:spPr>
          <a:xfrm>
            <a:off x="3429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79" name="QRANDROID">
            <a:extLst>
              <a:ext uri="{FF2B5EF4-FFF2-40B4-BE49-F238E27FC236}">
                <a16:creationId xmlns:a16="http://schemas.microsoft.com/office/drawing/2014/main" id="{00000000-0008-0000-0400-0000A7020000}"/>
              </a:ext>
            </a:extLst>
          </xdr:cNvPr>
          <xdr:cNvSpPr/>
        </xdr:nvSpPr>
        <xdr:spPr>
          <a:xfrm>
            <a:off x="3556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80" name="QRANDROID">
            <a:extLst>
              <a:ext uri="{FF2B5EF4-FFF2-40B4-BE49-F238E27FC236}">
                <a16:creationId xmlns:a16="http://schemas.microsoft.com/office/drawing/2014/main" id="{00000000-0008-0000-0400-0000A8020000}"/>
              </a:ext>
            </a:extLst>
          </xdr:cNvPr>
          <xdr:cNvSpPr/>
        </xdr:nvSpPr>
        <xdr:spPr>
          <a:xfrm>
            <a:off x="3683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81" name="QRANDROID">
            <a:extLst>
              <a:ext uri="{FF2B5EF4-FFF2-40B4-BE49-F238E27FC236}">
                <a16:creationId xmlns:a16="http://schemas.microsoft.com/office/drawing/2014/main" id="{00000000-0008-0000-0400-0000A9020000}"/>
              </a:ext>
            </a:extLst>
          </xdr:cNvPr>
          <xdr:cNvSpPr/>
        </xdr:nvSpPr>
        <xdr:spPr>
          <a:xfrm>
            <a:off x="3810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82" name="QRANDROID">
            <a:extLst>
              <a:ext uri="{FF2B5EF4-FFF2-40B4-BE49-F238E27FC236}">
                <a16:creationId xmlns:a16="http://schemas.microsoft.com/office/drawing/2014/main" id="{00000000-0008-0000-0400-0000AA020000}"/>
              </a:ext>
            </a:extLst>
          </xdr:cNvPr>
          <xdr:cNvSpPr/>
        </xdr:nvSpPr>
        <xdr:spPr>
          <a:xfrm>
            <a:off x="4318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83" name="QRANDROID">
            <a:extLst>
              <a:ext uri="{FF2B5EF4-FFF2-40B4-BE49-F238E27FC236}">
                <a16:creationId xmlns:a16="http://schemas.microsoft.com/office/drawing/2014/main" id="{00000000-0008-0000-0400-0000AB020000}"/>
              </a:ext>
            </a:extLst>
          </xdr:cNvPr>
          <xdr:cNvSpPr/>
        </xdr:nvSpPr>
        <xdr:spPr>
          <a:xfrm>
            <a:off x="4445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84" name="QRANDROID">
            <a:extLst>
              <a:ext uri="{FF2B5EF4-FFF2-40B4-BE49-F238E27FC236}">
                <a16:creationId xmlns:a16="http://schemas.microsoft.com/office/drawing/2014/main" id="{00000000-0008-0000-0400-0000AC020000}"/>
              </a:ext>
            </a:extLst>
          </xdr:cNvPr>
          <xdr:cNvSpPr/>
        </xdr:nvSpPr>
        <xdr:spPr>
          <a:xfrm>
            <a:off x="4572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 editAs="oneCell">
    <xdr:from>
      <xdr:col>7</xdr:col>
      <xdr:colOff>95250</xdr:colOff>
      <xdr:row>4</xdr:row>
      <xdr:rowOff>0</xdr:rowOff>
    </xdr:from>
    <xdr:to>
      <xdr:col>11</xdr:col>
      <xdr:colOff>504825</xdr:colOff>
      <xdr:row>18</xdr:row>
      <xdr:rowOff>180975</xdr:rowOff>
    </xdr:to>
    <xdr:grpSp>
      <xdr:nvGrpSpPr>
        <xdr:cNvPr id="685" name="QRIOS" descr="QuickResponse barcode, level L, version 6, mode binary, 41x41 cells" title="itms-services://?action=download-manifest&amp;url=https://stagingapps.ocbc.com/Packages/CFS/MB/SCANANDPAY/CFS_MB_SG_SCANANDPAY_UAT.plist">
          <a:extLst>
            <a:ext uri="{FF2B5EF4-FFF2-40B4-BE49-F238E27FC236}">
              <a16:creationId xmlns:a16="http://schemas.microsoft.com/office/drawing/2014/main" id="{00000000-0008-0000-0400-0000AD020000}"/>
            </a:ext>
          </a:extLst>
        </xdr:cNvPr>
        <xdr:cNvGrpSpPr>
          <a:grpSpLocks noChangeAspect="1"/>
        </xdr:cNvGrpSpPr>
      </xdr:nvGrpSpPr>
      <xdr:grpSpPr>
        <a:xfrm>
          <a:off x="4362450" y="390525"/>
          <a:ext cx="2847975" cy="2847975"/>
          <a:chOff x="0" y="0"/>
          <a:chExt cx="520700" cy="520700"/>
        </a:xfrm>
      </xdr:grpSpPr>
      <xdr:sp macro="" textlink="">
        <xdr:nvSpPr>
          <xdr:cNvPr id="686" name="QRIOS">
            <a:extLst>
              <a:ext uri="{FF2B5EF4-FFF2-40B4-BE49-F238E27FC236}">
                <a16:creationId xmlns:a16="http://schemas.microsoft.com/office/drawing/2014/main" id="{00000000-0008-0000-0400-0000AE02000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87" name="QRIOS">
            <a:extLst>
              <a:ext uri="{FF2B5EF4-FFF2-40B4-BE49-F238E27FC236}">
                <a16:creationId xmlns:a16="http://schemas.microsoft.com/office/drawing/2014/main" id="{00000000-0008-0000-0400-0000AF020000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88" name="QRIOS">
            <a:extLst>
              <a:ext uri="{FF2B5EF4-FFF2-40B4-BE49-F238E27FC236}">
                <a16:creationId xmlns:a16="http://schemas.microsoft.com/office/drawing/2014/main" id="{00000000-0008-0000-0400-0000B002000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89" name="QRIOS">
            <a:extLst>
              <a:ext uri="{FF2B5EF4-FFF2-40B4-BE49-F238E27FC236}">
                <a16:creationId xmlns:a16="http://schemas.microsoft.com/office/drawing/2014/main" id="{00000000-0008-0000-0400-0000B1020000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90" name="QRIOS">
            <a:extLst>
              <a:ext uri="{FF2B5EF4-FFF2-40B4-BE49-F238E27FC236}">
                <a16:creationId xmlns:a16="http://schemas.microsoft.com/office/drawing/2014/main" id="{00000000-0008-0000-0400-0000B2020000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91" name="QRIOS">
            <a:extLst>
              <a:ext uri="{FF2B5EF4-FFF2-40B4-BE49-F238E27FC236}">
                <a16:creationId xmlns:a16="http://schemas.microsoft.com/office/drawing/2014/main" id="{00000000-0008-0000-0400-0000B302000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92" name="QRIOS">
            <a:extLst>
              <a:ext uri="{FF2B5EF4-FFF2-40B4-BE49-F238E27FC236}">
                <a16:creationId xmlns:a16="http://schemas.microsoft.com/office/drawing/2014/main" id="{00000000-0008-0000-0400-0000B402000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93" name="QRIOS">
            <a:extLst>
              <a:ext uri="{FF2B5EF4-FFF2-40B4-BE49-F238E27FC236}">
                <a16:creationId xmlns:a16="http://schemas.microsoft.com/office/drawing/2014/main" id="{00000000-0008-0000-0400-0000B5020000}"/>
              </a:ext>
            </a:extLst>
          </xdr:cNvPr>
          <xdr:cNvSpPr/>
        </xdr:nvSpPr>
        <xdr:spPr>
          <a:xfrm>
            <a:off x="101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94" name="QRIOS">
            <a:extLst>
              <a:ext uri="{FF2B5EF4-FFF2-40B4-BE49-F238E27FC236}">
                <a16:creationId xmlns:a16="http://schemas.microsoft.com/office/drawing/2014/main" id="{00000000-0008-0000-0400-0000B6020000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95" name="QRIOS">
            <a:extLst>
              <a:ext uri="{FF2B5EF4-FFF2-40B4-BE49-F238E27FC236}">
                <a16:creationId xmlns:a16="http://schemas.microsoft.com/office/drawing/2014/main" id="{00000000-0008-0000-0400-0000B7020000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96" name="QRIOS">
            <a:extLst>
              <a:ext uri="{FF2B5EF4-FFF2-40B4-BE49-F238E27FC236}">
                <a16:creationId xmlns:a16="http://schemas.microsoft.com/office/drawing/2014/main" id="{00000000-0008-0000-0400-0000B8020000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97" name="QRIOS">
            <a:extLst>
              <a:ext uri="{FF2B5EF4-FFF2-40B4-BE49-F238E27FC236}">
                <a16:creationId xmlns:a16="http://schemas.microsoft.com/office/drawing/2014/main" id="{00000000-0008-0000-0400-0000B9020000}"/>
              </a:ext>
            </a:extLst>
          </xdr:cNvPr>
          <xdr:cNvSpPr/>
        </xdr:nvSpPr>
        <xdr:spPr>
          <a:xfrm>
            <a:off x="165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98" name="QRIOS">
            <a:extLst>
              <a:ext uri="{FF2B5EF4-FFF2-40B4-BE49-F238E27FC236}">
                <a16:creationId xmlns:a16="http://schemas.microsoft.com/office/drawing/2014/main" id="{00000000-0008-0000-0400-0000BA020000}"/>
              </a:ext>
            </a:extLst>
          </xdr:cNvPr>
          <xdr:cNvSpPr/>
        </xdr:nvSpPr>
        <xdr:spPr>
          <a:xfrm>
            <a:off x="177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99" name="QRIOS">
            <a:extLst>
              <a:ext uri="{FF2B5EF4-FFF2-40B4-BE49-F238E27FC236}">
                <a16:creationId xmlns:a16="http://schemas.microsoft.com/office/drawing/2014/main" id="{00000000-0008-0000-0400-0000BB020000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00" name="QRIOS">
            <a:extLst>
              <a:ext uri="{FF2B5EF4-FFF2-40B4-BE49-F238E27FC236}">
                <a16:creationId xmlns:a16="http://schemas.microsoft.com/office/drawing/2014/main" id="{00000000-0008-0000-0400-0000BC020000}"/>
              </a:ext>
            </a:extLst>
          </xdr:cNvPr>
          <xdr:cNvSpPr/>
        </xdr:nvSpPr>
        <xdr:spPr>
          <a:xfrm>
            <a:off x="317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01" name="QRIOS">
            <a:extLst>
              <a:ext uri="{FF2B5EF4-FFF2-40B4-BE49-F238E27FC236}">
                <a16:creationId xmlns:a16="http://schemas.microsoft.com/office/drawing/2014/main" id="{00000000-0008-0000-0400-0000BD020000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02" name="QRIOS">
            <a:extLst>
              <a:ext uri="{FF2B5EF4-FFF2-40B4-BE49-F238E27FC236}">
                <a16:creationId xmlns:a16="http://schemas.microsoft.com/office/drawing/2014/main" id="{00000000-0008-0000-0400-0000BE020000}"/>
              </a:ext>
            </a:extLst>
          </xdr:cNvPr>
          <xdr:cNvSpPr/>
        </xdr:nvSpPr>
        <xdr:spPr>
          <a:xfrm>
            <a:off x="368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03" name="QRIOS">
            <a:extLst>
              <a:ext uri="{FF2B5EF4-FFF2-40B4-BE49-F238E27FC236}">
                <a16:creationId xmlns:a16="http://schemas.microsoft.com/office/drawing/2014/main" id="{00000000-0008-0000-0400-0000BF020000}"/>
              </a:ext>
            </a:extLst>
          </xdr:cNvPr>
          <xdr:cNvSpPr/>
        </xdr:nvSpPr>
        <xdr:spPr>
          <a:xfrm>
            <a:off x="381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04" name="QRIOS">
            <a:extLst>
              <a:ext uri="{FF2B5EF4-FFF2-40B4-BE49-F238E27FC236}">
                <a16:creationId xmlns:a16="http://schemas.microsoft.com/office/drawing/2014/main" id="{00000000-0008-0000-0400-0000C0020000}"/>
              </a:ext>
            </a:extLst>
          </xdr:cNvPr>
          <xdr:cNvSpPr/>
        </xdr:nvSpPr>
        <xdr:spPr>
          <a:xfrm>
            <a:off x="431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05" name="QRIOS">
            <a:extLst>
              <a:ext uri="{FF2B5EF4-FFF2-40B4-BE49-F238E27FC236}">
                <a16:creationId xmlns:a16="http://schemas.microsoft.com/office/drawing/2014/main" id="{00000000-0008-0000-0400-0000C1020000}"/>
              </a:ext>
            </a:extLst>
          </xdr:cNvPr>
          <xdr:cNvSpPr/>
        </xdr:nvSpPr>
        <xdr:spPr>
          <a:xfrm>
            <a:off x="444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06" name="QRIOS">
            <a:extLst>
              <a:ext uri="{FF2B5EF4-FFF2-40B4-BE49-F238E27FC236}">
                <a16:creationId xmlns:a16="http://schemas.microsoft.com/office/drawing/2014/main" id="{00000000-0008-0000-0400-0000C2020000}"/>
              </a:ext>
            </a:extLst>
          </xdr:cNvPr>
          <xdr:cNvSpPr/>
        </xdr:nvSpPr>
        <xdr:spPr>
          <a:xfrm>
            <a:off x="457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07" name="QRIOS">
            <a:extLst>
              <a:ext uri="{FF2B5EF4-FFF2-40B4-BE49-F238E27FC236}">
                <a16:creationId xmlns:a16="http://schemas.microsoft.com/office/drawing/2014/main" id="{00000000-0008-0000-0400-0000C3020000}"/>
              </a:ext>
            </a:extLst>
          </xdr:cNvPr>
          <xdr:cNvSpPr/>
        </xdr:nvSpPr>
        <xdr:spPr>
          <a:xfrm>
            <a:off x="4699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08" name="QRIOS">
            <a:extLst>
              <a:ext uri="{FF2B5EF4-FFF2-40B4-BE49-F238E27FC236}">
                <a16:creationId xmlns:a16="http://schemas.microsoft.com/office/drawing/2014/main" id="{00000000-0008-0000-0400-0000C4020000}"/>
              </a:ext>
            </a:extLst>
          </xdr:cNvPr>
          <xdr:cNvSpPr/>
        </xdr:nvSpPr>
        <xdr:spPr>
          <a:xfrm>
            <a:off x="482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09" name="QRIOS">
            <a:extLst>
              <a:ext uri="{FF2B5EF4-FFF2-40B4-BE49-F238E27FC236}">
                <a16:creationId xmlns:a16="http://schemas.microsoft.com/office/drawing/2014/main" id="{00000000-0008-0000-0400-0000C5020000}"/>
              </a:ext>
            </a:extLst>
          </xdr:cNvPr>
          <xdr:cNvSpPr/>
        </xdr:nvSpPr>
        <xdr:spPr>
          <a:xfrm>
            <a:off x="495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10" name="QRIOS">
            <a:extLst>
              <a:ext uri="{FF2B5EF4-FFF2-40B4-BE49-F238E27FC236}">
                <a16:creationId xmlns:a16="http://schemas.microsoft.com/office/drawing/2014/main" id="{00000000-0008-0000-0400-0000C6020000}"/>
              </a:ext>
            </a:extLst>
          </xdr:cNvPr>
          <xdr:cNvSpPr/>
        </xdr:nvSpPr>
        <xdr:spPr>
          <a:xfrm>
            <a:off x="508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11" name="QRIOS">
            <a:extLst>
              <a:ext uri="{FF2B5EF4-FFF2-40B4-BE49-F238E27FC236}">
                <a16:creationId xmlns:a16="http://schemas.microsoft.com/office/drawing/2014/main" id="{00000000-0008-0000-0400-0000C702000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12" name="QRIOS">
            <a:extLst>
              <a:ext uri="{FF2B5EF4-FFF2-40B4-BE49-F238E27FC236}">
                <a16:creationId xmlns:a16="http://schemas.microsoft.com/office/drawing/2014/main" id="{00000000-0008-0000-0400-0000C802000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13" name="QRIOS">
            <a:extLst>
              <a:ext uri="{FF2B5EF4-FFF2-40B4-BE49-F238E27FC236}">
                <a16:creationId xmlns:a16="http://schemas.microsoft.com/office/drawing/2014/main" id="{00000000-0008-0000-0400-0000C9020000}"/>
              </a:ext>
            </a:extLst>
          </xdr:cNvPr>
          <xdr:cNvSpPr/>
        </xdr:nvSpPr>
        <xdr:spPr>
          <a:xfrm>
            <a:off x="1016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14" name="QRIOS">
            <a:extLst>
              <a:ext uri="{FF2B5EF4-FFF2-40B4-BE49-F238E27FC236}">
                <a16:creationId xmlns:a16="http://schemas.microsoft.com/office/drawing/2014/main" id="{00000000-0008-0000-0400-0000CA020000}"/>
              </a:ext>
            </a:extLst>
          </xdr:cNvPr>
          <xdr:cNvSpPr/>
        </xdr:nvSpPr>
        <xdr:spPr>
          <a:xfrm>
            <a:off x="1397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15" name="QRIOS">
            <a:extLst>
              <a:ext uri="{FF2B5EF4-FFF2-40B4-BE49-F238E27FC236}">
                <a16:creationId xmlns:a16="http://schemas.microsoft.com/office/drawing/2014/main" id="{00000000-0008-0000-0400-0000CB020000}"/>
              </a:ext>
            </a:extLst>
          </xdr:cNvPr>
          <xdr:cNvSpPr/>
        </xdr:nvSpPr>
        <xdr:spPr>
          <a:xfrm>
            <a:off x="1778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16" name="QRIOS">
            <a:extLst>
              <a:ext uri="{FF2B5EF4-FFF2-40B4-BE49-F238E27FC236}">
                <a16:creationId xmlns:a16="http://schemas.microsoft.com/office/drawing/2014/main" id="{00000000-0008-0000-0400-0000CC020000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17" name="QRIOS">
            <a:extLst>
              <a:ext uri="{FF2B5EF4-FFF2-40B4-BE49-F238E27FC236}">
                <a16:creationId xmlns:a16="http://schemas.microsoft.com/office/drawing/2014/main" id="{00000000-0008-0000-0400-0000CD020000}"/>
              </a:ext>
            </a:extLst>
          </xdr:cNvPr>
          <xdr:cNvSpPr/>
        </xdr:nvSpPr>
        <xdr:spPr>
          <a:xfrm>
            <a:off x="2159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18" name="QRIOS">
            <a:extLst>
              <a:ext uri="{FF2B5EF4-FFF2-40B4-BE49-F238E27FC236}">
                <a16:creationId xmlns:a16="http://schemas.microsoft.com/office/drawing/2014/main" id="{00000000-0008-0000-0400-0000CE020000}"/>
              </a:ext>
            </a:extLst>
          </xdr:cNvPr>
          <xdr:cNvSpPr/>
        </xdr:nvSpPr>
        <xdr:spPr>
          <a:xfrm>
            <a:off x="2286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19" name="QRIOS">
            <a:extLst>
              <a:ext uri="{FF2B5EF4-FFF2-40B4-BE49-F238E27FC236}">
                <a16:creationId xmlns:a16="http://schemas.microsoft.com/office/drawing/2014/main" id="{00000000-0008-0000-0400-0000CF020000}"/>
              </a:ext>
            </a:extLst>
          </xdr:cNvPr>
          <xdr:cNvSpPr/>
        </xdr:nvSpPr>
        <xdr:spPr>
          <a:xfrm>
            <a:off x="2667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20" name="QRIOS">
            <a:extLst>
              <a:ext uri="{FF2B5EF4-FFF2-40B4-BE49-F238E27FC236}">
                <a16:creationId xmlns:a16="http://schemas.microsoft.com/office/drawing/2014/main" id="{00000000-0008-0000-0400-0000D0020000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21" name="QRIOS">
            <a:extLst>
              <a:ext uri="{FF2B5EF4-FFF2-40B4-BE49-F238E27FC236}">
                <a16:creationId xmlns:a16="http://schemas.microsoft.com/office/drawing/2014/main" id="{00000000-0008-0000-0400-0000D1020000}"/>
              </a:ext>
            </a:extLst>
          </xdr:cNvPr>
          <xdr:cNvSpPr/>
        </xdr:nvSpPr>
        <xdr:spPr>
          <a:xfrm>
            <a:off x="3683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22" name="QRIOS">
            <a:extLst>
              <a:ext uri="{FF2B5EF4-FFF2-40B4-BE49-F238E27FC236}">
                <a16:creationId xmlns:a16="http://schemas.microsoft.com/office/drawing/2014/main" id="{00000000-0008-0000-0400-0000D2020000}"/>
              </a:ext>
            </a:extLst>
          </xdr:cNvPr>
          <xdr:cNvSpPr/>
        </xdr:nvSpPr>
        <xdr:spPr>
          <a:xfrm>
            <a:off x="381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23" name="QRIOS">
            <a:extLst>
              <a:ext uri="{FF2B5EF4-FFF2-40B4-BE49-F238E27FC236}">
                <a16:creationId xmlns:a16="http://schemas.microsoft.com/office/drawing/2014/main" id="{00000000-0008-0000-0400-0000D3020000}"/>
              </a:ext>
            </a:extLst>
          </xdr:cNvPr>
          <xdr:cNvSpPr/>
        </xdr:nvSpPr>
        <xdr:spPr>
          <a:xfrm>
            <a:off x="406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24" name="QRIOS">
            <a:extLst>
              <a:ext uri="{FF2B5EF4-FFF2-40B4-BE49-F238E27FC236}">
                <a16:creationId xmlns:a16="http://schemas.microsoft.com/office/drawing/2014/main" id="{00000000-0008-0000-0400-0000D4020000}"/>
              </a:ext>
            </a:extLst>
          </xdr:cNvPr>
          <xdr:cNvSpPr/>
        </xdr:nvSpPr>
        <xdr:spPr>
          <a:xfrm>
            <a:off x="4318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25" name="QRIOS">
            <a:extLst>
              <a:ext uri="{FF2B5EF4-FFF2-40B4-BE49-F238E27FC236}">
                <a16:creationId xmlns:a16="http://schemas.microsoft.com/office/drawing/2014/main" id="{00000000-0008-0000-0400-0000D5020000}"/>
              </a:ext>
            </a:extLst>
          </xdr:cNvPr>
          <xdr:cNvSpPr/>
        </xdr:nvSpPr>
        <xdr:spPr>
          <a:xfrm>
            <a:off x="508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26" name="QRIOS">
            <a:extLst>
              <a:ext uri="{FF2B5EF4-FFF2-40B4-BE49-F238E27FC236}">
                <a16:creationId xmlns:a16="http://schemas.microsoft.com/office/drawing/2014/main" id="{00000000-0008-0000-0400-0000D6020000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27" name="QRIOS">
            <a:extLst>
              <a:ext uri="{FF2B5EF4-FFF2-40B4-BE49-F238E27FC236}">
                <a16:creationId xmlns:a16="http://schemas.microsoft.com/office/drawing/2014/main" id="{00000000-0008-0000-0400-0000D7020000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28" name="QRIOS">
            <a:extLst>
              <a:ext uri="{FF2B5EF4-FFF2-40B4-BE49-F238E27FC236}">
                <a16:creationId xmlns:a16="http://schemas.microsoft.com/office/drawing/2014/main" id="{00000000-0008-0000-0400-0000D8020000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29" name="QRIOS">
            <a:extLst>
              <a:ext uri="{FF2B5EF4-FFF2-40B4-BE49-F238E27FC236}">
                <a16:creationId xmlns:a16="http://schemas.microsoft.com/office/drawing/2014/main" id="{00000000-0008-0000-0400-0000D9020000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30" name="QRIOS">
            <a:extLst>
              <a:ext uri="{FF2B5EF4-FFF2-40B4-BE49-F238E27FC236}">
                <a16:creationId xmlns:a16="http://schemas.microsoft.com/office/drawing/2014/main" id="{00000000-0008-0000-0400-0000DA020000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31" name="QRIOS">
            <a:extLst>
              <a:ext uri="{FF2B5EF4-FFF2-40B4-BE49-F238E27FC236}">
                <a16:creationId xmlns:a16="http://schemas.microsoft.com/office/drawing/2014/main" id="{00000000-0008-0000-0400-0000DB020000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32" name="QRIOS">
            <a:extLst>
              <a:ext uri="{FF2B5EF4-FFF2-40B4-BE49-F238E27FC236}">
                <a16:creationId xmlns:a16="http://schemas.microsoft.com/office/drawing/2014/main" id="{00000000-0008-0000-0400-0000DC020000}"/>
              </a:ext>
            </a:extLst>
          </xdr:cNvPr>
          <xdr:cNvSpPr/>
        </xdr:nvSpPr>
        <xdr:spPr>
          <a:xfrm>
            <a:off x="127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33" name="QRIOS">
            <a:extLst>
              <a:ext uri="{FF2B5EF4-FFF2-40B4-BE49-F238E27FC236}">
                <a16:creationId xmlns:a16="http://schemas.microsoft.com/office/drawing/2014/main" id="{00000000-0008-0000-0400-0000DD020000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34" name="QRIOS">
            <a:extLst>
              <a:ext uri="{FF2B5EF4-FFF2-40B4-BE49-F238E27FC236}">
                <a16:creationId xmlns:a16="http://schemas.microsoft.com/office/drawing/2014/main" id="{00000000-0008-0000-0400-0000DE020000}"/>
              </a:ext>
            </a:extLst>
          </xdr:cNvPr>
          <xdr:cNvSpPr/>
        </xdr:nvSpPr>
        <xdr:spPr>
          <a:xfrm>
            <a:off x="165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35" name="QRIOS">
            <a:extLst>
              <a:ext uri="{FF2B5EF4-FFF2-40B4-BE49-F238E27FC236}">
                <a16:creationId xmlns:a16="http://schemas.microsoft.com/office/drawing/2014/main" id="{00000000-0008-0000-0400-0000DF020000}"/>
              </a:ext>
            </a:extLst>
          </xdr:cNvPr>
          <xdr:cNvSpPr/>
        </xdr:nvSpPr>
        <xdr:spPr>
          <a:xfrm>
            <a:off x="177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36" name="QRIOS">
            <a:extLst>
              <a:ext uri="{FF2B5EF4-FFF2-40B4-BE49-F238E27FC236}">
                <a16:creationId xmlns:a16="http://schemas.microsoft.com/office/drawing/2014/main" id="{00000000-0008-0000-0400-0000E0020000}"/>
              </a:ext>
            </a:extLst>
          </xdr:cNvPr>
          <xdr:cNvSpPr/>
        </xdr:nvSpPr>
        <xdr:spPr>
          <a:xfrm>
            <a:off x="2159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37" name="QRIOS">
            <a:extLst>
              <a:ext uri="{FF2B5EF4-FFF2-40B4-BE49-F238E27FC236}">
                <a16:creationId xmlns:a16="http://schemas.microsoft.com/office/drawing/2014/main" id="{00000000-0008-0000-0400-0000E1020000}"/>
              </a:ext>
            </a:extLst>
          </xdr:cNvPr>
          <xdr:cNvSpPr/>
        </xdr:nvSpPr>
        <xdr:spPr>
          <a:xfrm>
            <a:off x="2286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38" name="QRIOS">
            <a:extLst>
              <a:ext uri="{FF2B5EF4-FFF2-40B4-BE49-F238E27FC236}">
                <a16:creationId xmlns:a16="http://schemas.microsoft.com/office/drawing/2014/main" id="{00000000-0008-0000-0400-0000E2020000}"/>
              </a:ext>
            </a:extLst>
          </xdr:cNvPr>
          <xdr:cNvSpPr/>
        </xdr:nvSpPr>
        <xdr:spPr>
          <a:xfrm>
            <a:off x="2413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39" name="QRIOS">
            <a:extLst>
              <a:ext uri="{FF2B5EF4-FFF2-40B4-BE49-F238E27FC236}">
                <a16:creationId xmlns:a16="http://schemas.microsoft.com/office/drawing/2014/main" id="{00000000-0008-0000-0400-0000E3020000}"/>
              </a:ext>
            </a:extLst>
          </xdr:cNvPr>
          <xdr:cNvSpPr/>
        </xdr:nvSpPr>
        <xdr:spPr>
          <a:xfrm>
            <a:off x="2667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40" name="QRIOS">
            <a:extLst>
              <a:ext uri="{FF2B5EF4-FFF2-40B4-BE49-F238E27FC236}">
                <a16:creationId xmlns:a16="http://schemas.microsoft.com/office/drawing/2014/main" id="{00000000-0008-0000-0400-0000E4020000}"/>
              </a:ext>
            </a:extLst>
          </xdr:cNvPr>
          <xdr:cNvSpPr/>
        </xdr:nvSpPr>
        <xdr:spPr>
          <a:xfrm>
            <a:off x="3175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41" name="QRIOS">
            <a:extLst>
              <a:ext uri="{FF2B5EF4-FFF2-40B4-BE49-F238E27FC236}">
                <a16:creationId xmlns:a16="http://schemas.microsoft.com/office/drawing/2014/main" id="{00000000-0008-0000-0400-0000E5020000}"/>
              </a:ext>
            </a:extLst>
          </xdr:cNvPr>
          <xdr:cNvSpPr/>
        </xdr:nvSpPr>
        <xdr:spPr>
          <a:xfrm>
            <a:off x="3683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42" name="QRIOS">
            <a:extLst>
              <a:ext uri="{FF2B5EF4-FFF2-40B4-BE49-F238E27FC236}">
                <a16:creationId xmlns:a16="http://schemas.microsoft.com/office/drawing/2014/main" id="{00000000-0008-0000-0400-0000E6020000}"/>
              </a:ext>
            </a:extLst>
          </xdr:cNvPr>
          <xdr:cNvSpPr/>
        </xdr:nvSpPr>
        <xdr:spPr>
          <a:xfrm>
            <a:off x="381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43" name="QRIOS">
            <a:extLst>
              <a:ext uri="{FF2B5EF4-FFF2-40B4-BE49-F238E27FC236}">
                <a16:creationId xmlns:a16="http://schemas.microsoft.com/office/drawing/2014/main" id="{00000000-0008-0000-0400-0000E7020000}"/>
              </a:ext>
            </a:extLst>
          </xdr:cNvPr>
          <xdr:cNvSpPr/>
        </xdr:nvSpPr>
        <xdr:spPr>
          <a:xfrm>
            <a:off x="3937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44" name="QRIOS">
            <a:extLst>
              <a:ext uri="{FF2B5EF4-FFF2-40B4-BE49-F238E27FC236}">
                <a16:creationId xmlns:a16="http://schemas.microsoft.com/office/drawing/2014/main" id="{00000000-0008-0000-0400-0000E8020000}"/>
              </a:ext>
            </a:extLst>
          </xdr:cNvPr>
          <xdr:cNvSpPr/>
        </xdr:nvSpPr>
        <xdr:spPr>
          <a:xfrm>
            <a:off x="406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45" name="QRIOS">
            <a:extLst>
              <a:ext uri="{FF2B5EF4-FFF2-40B4-BE49-F238E27FC236}">
                <a16:creationId xmlns:a16="http://schemas.microsoft.com/office/drawing/2014/main" id="{00000000-0008-0000-0400-0000E9020000}"/>
              </a:ext>
            </a:extLst>
          </xdr:cNvPr>
          <xdr:cNvSpPr/>
        </xdr:nvSpPr>
        <xdr:spPr>
          <a:xfrm>
            <a:off x="431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46" name="QRIOS">
            <a:extLst>
              <a:ext uri="{FF2B5EF4-FFF2-40B4-BE49-F238E27FC236}">
                <a16:creationId xmlns:a16="http://schemas.microsoft.com/office/drawing/2014/main" id="{00000000-0008-0000-0400-0000EA020000}"/>
              </a:ext>
            </a:extLst>
          </xdr:cNvPr>
          <xdr:cNvSpPr/>
        </xdr:nvSpPr>
        <xdr:spPr>
          <a:xfrm>
            <a:off x="457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47" name="QRIOS">
            <a:extLst>
              <a:ext uri="{FF2B5EF4-FFF2-40B4-BE49-F238E27FC236}">
                <a16:creationId xmlns:a16="http://schemas.microsoft.com/office/drawing/2014/main" id="{00000000-0008-0000-0400-0000EB020000}"/>
              </a:ext>
            </a:extLst>
          </xdr:cNvPr>
          <xdr:cNvSpPr/>
        </xdr:nvSpPr>
        <xdr:spPr>
          <a:xfrm>
            <a:off x="4699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48" name="QRIOS">
            <a:extLst>
              <a:ext uri="{FF2B5EF4-FFF2-40B4-BE49-F238E27FC236}">
                <a16:creationId xmlns:a16="http://schemas.microsoft.com/office/drawing/2014/main" id="{00000000-0008-0000-0400-0000EC020000}"/>
              </a:ext>
            </a:extLst>
          </xdr:cNvPr>
          <xdr:cNvSpPr/>
        </xdr:nvSpPr>
        <xdr:spPr>
          <a:xfrm>
            <a:off x="4826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49" name="QRIOS">
            <a:extLst>
              <a:ext uri="{FF2B5EF4-FFF2-40B4-BE49-F238E27FC236}">
                <a16:creationId xmlns:a16="http://schemas.microsoft.com/office/drawing/2014/main" id="{00000000-0008-0000-0400-0000ED020000}"/>
              </a:ext>
            </a:extLst>
          </xdr:cNvPr>
          <xdr:cNvSpPr/>
        </xdr:nvSpPr>
        <xdr:spPr>
          <a:xfrm>
            <a:off x="508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50" name="QRIOS">
            <a:extLst>
              <a:ext uri="{FF2B5EF4-FFF2-40B4-BE49-F238E27FC236}">
                <a16:creationId xmlns:a16="http://schemas.microsoft.com/office/drawing/2014/main" id="{00000000-0008-0000-0400-0000EE02000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51" name="QRIOS">
            <a:extLst>
              <a:ext uri="{FF2B5EF4-FFF2-40B4-BE49-F238E27FC236}">
                <a16:creationId xmlns:a16="http://schemas.microsoft.com/office/drawing/2014/main" id="{00000000-0008-0000-0400-0000EF02000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52" name="QRIOS">
            <a:extLst>
              <a:ext uri="{FF2B5EF4-FFF2-40B4-BE49-F238E27FC236}">
                <a16:creationId xmlns:a16="http://schemas.microsoft.com/office/drawing/2014/main" id="{00000000-0008-0000-0400-0000F002000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53" name="QRIOS">
            <a:extLst>
              <a:ext uri="{FF2B5EF4-FFF2-40B4-BE49-F238E27FC236}">
                <a16:creationId xmlns:a16="http://schemas.microsoft.com/office/drawing/2014/main" id="{00000000-0008-0000-0400-0000F1020000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54" name="QRIOS">
            <a:extLst>
              <a:ext uri="{FF2B5EF4-FFF2-40B4-BE49-F238E27FC236}">
                <a16:creationId xmlns:a16="http://schemas.microsoft.com/office/drawing/2014/main" id="{00000000-0008-0000-0400-0000F202000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55" name="QRIOS">
            <a:extLst>
              <a:ext uri="{FF2B5EF4-FFF2-40B4-BE49-F238E27FC236}">
                <a16:creationId xmlns:a16="http://schemas.microsoft.com/office/drawing/2014/main" id="{00000000-0008-0000-0400-0000F3020000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56" name="QRIOS">
            <a:extLst>
              <a:ext uri="{FF2B5EF4-FFF2-40B4-BE49-F238E27FC236}">
                <a16:creationId xmlns:a16="http://schemas.microsoft.com/office/drawing/2014/main" id="{00000000-0008-0000-0400-0000F4020000}"/>
              </a:ext>
            </a:extLst>
          </xdr:cNvPr>
          <xdr:cNvSpPr/>
        </xdr:nvSpPr>
        <xdr:spPr>
          <a:xfrm>
            <a:off x="127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57" name="QRIOS">
            <a:extLst>
              <a:ext uri="{FF2B5EF4-FFF2-40B4-BE49-F238E27FC236}">
                <a16:creationId xmlns:a16="http://schemas.microsoft.com/office/drawing/2014/main" id="{00000000-0008-0000-0400-0000F5020000}"/>
              </a:ext>
            </a:extLst>
          </xdr:cNvPr>
          <xdr:cNvSpPr/>
        </xdr:nvSpPr>
        <xdr:spPr>
          <a:xfrm>
            <a:off x="1397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58" name="QRIOS">
            <a:extLst>
              <a:ext uri="{FF2B5EF4-FFF2-40B4-BE49-F238E27FC236}">
                <a16:creationId xmlns:a16="http://schemas.microsoft.com/office/drawing/2014/main" id="{00000000-0008-0000-0400-0000F6020000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59" name="QRIOS">
            <a:extLst>
              <a:ext uri="{FF2B5EF4-FFF2-40B4-BE49-F238E27FC236}">
                <a16:creationId xmlns:a16="http://schemas.microsoft.com/office/drawing/2014/main" id="{00000000-0008-0000-0400-0000F7020000}"/>
              </a:ext>
            </a:extLst>
          </xdr:cNvPr>
          <xdr:cNvSpPr/>
        </xdr:nvSpPr>
        <xdr:spPr>
          <a:xfrm>
            <a:off x="203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60" name="QRIOS">
            <a:extLst>
              <a:ext uri="{FF2B5EF4-FFF2-40B4-BE49-F238E27FC236}">
                <a16:creationId xmlns:a16="http://schemas.microsoft.com/office/drawing/2014/main" id="{00000000-0008-0000-0400-0000F8020000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61" name="QRIOS">
            <a:extLst>
              <a:ext uri="{FF2B5EF4-FFF2-40B4-BE49-F238E27FC236}">
                <a16:creationId xmlns:a16="http://schemas.microsoft.com/office/drawing/2014/main" id="{00000000-0008-0000-0400-0000F9020000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62" name="QRIOS">
            <a:extLst>
              <a:ext uri="{FF2B5EF4-FFF2-40B4-BE49-F238E27FC236}">
                <a16:creationId xmlns:a16="http://schemas.microsoft.com/office/drawing/2014/main" id="{00000000-0008-0000-0400-0000FA020000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63" name="QRIOS">
            <a:extLst>
              <a:ext uri="{FF2B5EF4-FFF2-40B4-BE49-F238E27FC236}">
                <a16:creationId xmlns:a16="http://schemas.microsoft.com/office/drawing/2014/main" id="{00000000-0008-0000-0400-0000FB020000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64" name="QRIOS">
            <a:extLst>
              <a:ext uri="{FF2B5EF4-FFF2-40B4-BE49-F238E27FC236}">
                <a16:creationId xmlns:a16="http://schemas.microsoft.com/office/drawing/2014/main" id="{00000000-0008-0000-0400-0000FC020000}"/>
              </a:ext>
            </a:extLst>
          </xdr:cNvPr>
          <xdr:cNvSpPr/>
        </xdr:nvSpPr>
        <xdr:spPr>
          <a:xfrm>
            <a:off x="3429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65" name="QRIOS">
            <a:extLst>
              <a:ext uri="{FF2B5EF4-FFF2-40B4-BE49-F238E27FC236}">
                <a16:creationId xmlns:a16="http://schemas.microsoft.com/office/drawing/2014/main" id="{00000000-0008-0000-0400-0000FD020000}"/>
              </a:ext>
            </a:extLst>
          </xdr:cNvPr>
          <xdr:cNvSpPr/>
        </xdr:nvSpPr>
        <xdr:spPr>
          <a:xfrm>
            <a:off x="381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66" name="QRIOS">
            <a:extLst>
              <a:ext uri="{FF2B5EF4-FFF2-40B4-BE49-F238E27FC236}">
                <a16:creationId xmlns:a16="http://schemas.microsoft.com/office/drawing/2014/main" id="{00000000-0008-0000-0400-0000FE020000}"/>
              </a:ext>
            </a:extLst>
          </xdr:cNvPr>
          <xdr:cNvSpPr/>
        </xdr:nvSpPr>
        <xdr:spPr>
          <a:xfrm>
            <a:off x="431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67" name="QRIOS">
            <a:extLst>
              <a:ext uri="{FF2B5EF4-FFF2-40B4-BE49-F238E27FC236}">
                <a16:creationId xmlns:a16="http://schemas.microsoft.com/office/drawing/2014/main" id="{00000000-0008-0000-0400-0000FF020000}"/>
              </a:ext>
            </a:extLst>
          </xdr:cNvPr>
          <xdr:cNvSpPr/>
        </xdr:nvSpPr>
        <xdr:spPr>
          <a:xfrm>
            <a:off x="457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68" name="QRIOS">
            <a:extLst>
              <a:ext uri="{FF2B5EF4-FFF2-40B4-BE49-F238E27FC236}">
                <a16:creationId xmlns:a16="http://schemas.microsoft.com/office/drawing/2014/main" id="{00000000-0008-0000-0400-000000030000}"/>
              </a:ext>
            </a:extLst>
          </xdr:cNvPr>
          <xdr:cNvSpPr/>
        </xdr:nvSpPr>
        <xdr:spPr>
          <a:xfrm>
            <a:off x="4699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69" name="QRIOS">
            <a:extLst>
              <a:ext uri="{FF2B5EF4-FFF2-40B4-BE49-F238E27FC236}">
                <a16:creationId xmlns:a16="http://schemas.microsoft.com/office/drawing/2014/main" id="{00000000-0008-0000-0400-000001030000}"/>
              </a:ext>
            </a:extLst>
          </xdr:cNvPr>
          <xdr:cNvSpPr/>
        </xdr:nvSpPr>
        <xdr:spPr>
          <a:xfrm>
            <a:off x="482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70" name="QRIOS">
            <a:extLst>
              <a:ext uri="{FF2B5EF4-FFF2-40B4-BE49-F238E27FC236}">
                <a16:creationId xmlns:a16="http://schemas.microsoft.com/office/drawing/2014/main" id="{00000000-0008-0000-0400-000002030000}"/>
              </a:ext>
            </a:extLst>
          </xdr:cNvPr>
          <xdr:cNvSpPr/>
        </xdr:nvSpPr>
        <xdr:spPr>
          <a:xfrm>
            <a:off x="508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71" name="QRIOS">
            <a:extLst>
              <a:ext uri="{FF2B5EF4-FFF2-40B4-BE49-F238E27FC236}">
                <a16:creationId xmlns:a16="http://schemas.microsoft.com/office/drawing/2014/main" id="{00000000-0008-0000-0400-000003030000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72" name="QRIOS">
            <a:extLst>
              <a:ext uri="{FF2B5EF4-FFF2-40B4-BE49-F238E27FC236}">
                <a16:creationId xmlns:a16="http://schemas.microsoft.com/office/drawing/2014/main" id="{00000000-0008-0000-0400-00000403000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73" name="QRIOS">
            <a:extLst>
              <a:ext uri="{FF2B5EF4-FFF2-40B4-BE49-F238E27FC236}">
                <a16:creationId xmlns:a16="http://schemas.microsoft.com/office/drawing/2014/main" id="{00000000-0008-0000-0400-000005030000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74" name="QRIOS">
            <a:extLst>
              <a:ext uri="{FF2B5EF4-FFF2-40B4-BE49-F238E27FC236}">
                <a16:creationId xmlns:a16="http://schemas.microsoft.com/office/drawing/2014/main" id="{00000000-0008-0000-0400-00000603000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75" name="QRIOS">
            <a:extLst>
              <a:ext uri="{FF2B5EF4-FFF2-40B4-BE49-F238E27FC236}">
                <a16:creationId xmlns:a16="http://schemas.microsoft.com/office/drawing/2014/main" id="{00000000-0008-0000-0400-00000703000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76" name="QRIOS">
            <a:extLst>
              <a:ext uri="{FF2B5EF4-FFF2-40B4-BE49-F238E27FC236}">
                <a16:creationId xmlns:a16="http://schemas.microsoft.com/office/drawing/2014/main" id="{00000000-0008-0000-0400-000008030000}"/>
              </a:ext>
            </a:extLst>
          </xdr:cNvPr>
          <xdr:cNvSpPr/>
        </xdr:nvSpPr>
        <xdr:spPr>
          <a:xfrm>
            <a:off x="101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77" name="QRIOS">
            <a:extLst>
              <a:ext uri="{FF2B5EF4-FFF2-40B4-BE49-F238E27FC236}">
                <a16:creationId xmlns:a16="http://schemas.microsoft.com/office/drawing/2014/main" id="{00000000-0008-0000-0400-000009030000}"/>
              </a:ext>
            </a:extLst>
          </xdr:cNvPr>
          <xdr:cNvSpPr/>
        </xdr:nvSpPr>
        <xdr:spPr>
          <a:xfrm>
            <a:off x="114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78" name="QRIOS">
            <a:extLst>
              <a:ext uri="{FF2B5EF4-FFF2-40B4-BE49-F238E27FC236}">
                <a16:creationId xmlns:a16="http://schemas.microsoft.com/office/drawing/2014/main" id="{00000000-0008-0000-0400-00000A030000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79" name="QRIOS">
            <a:extLst>
              <a:ext uri="{FF2B5EF4-FFF2-40B4-BE49-F238E27FC236}">
                <a16:creationId xmlns:a16="http://schemas.microsoft.com/office/drawing/2014/main" id="{00000000-0008-0000-0400-00000B030000}"/>
              </a:ext>
            </a:extLst>
          </xdr:cNvPr>
          <xdr:cNvSpPr/>
        </xdr:nvSpPr>
        <xdr:spPr>
          <a:xfrm>
            <a:off x="1397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80" name="QRIOS">
            <a:extLst>
              <a:ext uri="{FF2B5EF4-FFF2-40B4-BE49-F238E27FC236}">
                <a16:creationId xmlns:a16="http://schemas.microsoft.com/office/drawing/2014/main" id="{00000000-0008-0000-0400-00000C030000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81" name="QRIOS">
            <a:extLst>
              <a:ext uri="{FF2B5EF4-FFF2-40B4-BE49-F238E27FC236}">
                <a16:creationId xmlns:a16="http://schemas.microsoft.com/office/drawing/2014/main" id="{00000000-0008-0000-0400-00000D030000}"/>
              </a:ext>
            </a:extLst>
          </xdr:cNvPr>
          <xdr:cNvSpPr/>
        </xdr:nvSpPr>
        <xdr:spPr>
          <a:xfrm>
            <a:off x="1905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82" name="QRIOS">
            <a:extLst>
              <a:ext uri="{FF2B5EF4-FFF2-40B4-BE49-F238E27FC236}">
                <a16:creationId xmlns:a16="http://schemas.microsoft.com/office/drawing/2014/main" id="{00000000-0008-0000-0400-00000E030000}"/>
              </a:ext>
            </a:extLst>
          </xdr:cNvPr>
          <xdr:cNvSpPr/>
        </xdr:nvSpPr>
        <xdr:spPr>
          <a:xfrm>
            <a:off x="2159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83" name="QRIOS">
            <a:extLst>
              <a:ext uri="{FF2B5EF4-FFF2-40B4-BE49-F238E27FC236}">
                <a16:creationId xmlns:a16="http://schemas.microsoft.com/office/drawing/2014/main" id="{00000000-0008-0000-0400-00000F030000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84" name="QRIOS">
            <a:extLst>
              <a:ext uri="{FF2B5EF4-FFF2-40B4-BE49-F238E27FC236}">
                <a16:creationId xmlns:a16="http://schemas.microsoft.com/office/drawing/2014/main" id="{00000000-0008-0000-0400-000010030000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85" name="QRIOS">
            <a:extLst>
              <a:ext uri="{FF2B5EF4-FFF2-40B4-BE49-F238E27FC236}">
                <a16:creationId xmlns:a16="http://schemas.microsoft.com/office/drawing/2014/main" id="{00000000-0008-0000-0400-000011030000}"/>
              </a:ext>
            </a:extLst>
          </xdr:cNvPr>
          <xdr:cNvSpPr/>
        </xdr:nvSpPr>
        <xdr:spPr>
          <a:xfrm>
            <a:off x="2667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86" name="QRIOS">
            <a:extLst>
              <a:ext uri="{FF2B5EF4-FFF2-40B4-BE49-F238E27FC236}">
                <a16:creationId xmlns:a16="http://schemas.microsoft.com/office/drawing/2014/main" id="{00000000-0008-0000-0400-000012030000}"/>
              </a:ext>
            </a:extLst>
          </xdr:cNvPr>
          <xdr:cNvSpPr/>
        </xdr:nvSpPr>
        <xdr:spPr>
          <a:xfrm>
            <a:off x="279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87" name="QRIOS">
            <a:extLst>
              <a:ext uri="{FF2B5EF4-FFF2-40B4-BE49-F238E27FC236}">
                <a16:creationId xmlns:a16="http://schemas.microsoft.com/office/drawing/2014/main" id="{00000000-0008-0000-0400-000013030000}"/>
              </a:ext>
            </a:extLst>
          </xdr:cNvPr>
          <xdr:cNvSpPr/>
        </xdr:nvSpPr>
        <xdr:spPr>
          <a:xfrm>
            <a:off x="292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88" name="QRIOS">
            <a:extLst>
              <a:ext uri="{FF2B5EF4-FFF2-40B4-BE49-F238E27FC236}">
                <a16:creationId xmlns:a16="http://schemas.microsoft.com/office/drawing/2014/main" id="{00000000-0008-0000-0400-000014030000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89" name="QRIOS">
            <a:extLst>
              <a:ext uri="{FF2B5EF4-FFF2-40B4-BE49-F238E27FC236}">
                <a16:creationId xmlns:a16="http://schemas.microsoft.com/office/drawing/2014/main" id="{00000000-0008-0000-0400-000015030000}"/>
              </a:ext>
            </a:extLst>
          </xdr:cNvPr>
          <xdr:cNvSpPr/>
        </xdr:nvSpPr>
        <xdr:spPr>
          <a:xfrm>
            <a:off x="3429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90" name="QRIOS">
            <a:extLst>
              <a:ext uri="{FF2B5EF4-FFF2-40B4-BE49-F238E27FC236}">
                <a16:creationId xmlns:a16="http://schemas.microsoft.com/office/drawing/2014/main" id="{00000000-0008-0000-0400-000016030000}"/>
              </a:ext>
            </a:extLst>
          </xdr:cNvPr>
          <xdr:cNvSpPr/>
        </xdr:nvSpPr>
        <xdr:spPr>
          <a:xfrm>
            <a:off x="368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91" name="QRIOS">
            <a:extLst>
              <a:ext uri="{FF2B5EF4-FFF2-40B4-BE49-F238E27FC236}">
                <a16:creationId xmlns:a16="http://schemas.microsoft.com/office/drawing/2014/main" id="{00000000-0008-0000-0400-000017030000}"/>
              </a:ext>
            </a:extLst>
          </xdr:cNvPr>
          <xdr:cNvSpPr/>
        </xdr:nvSpPr>
        <xdr:spPr>
          <a:xfrm>
            <a:off x="3937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92" name="QRIOS">
            <a:extLst>
              <a:ext uri="{FF2B5EF4-FFF2-40B4-BE49-F238E27FC236}">
                <a16:creationId xmlns:a16="http://schemas.microsoft.com/office/drawing/2014/main" id="{00000000-0008-0000-0400-000018030000}"/>
              </a:ext>
            </a:extLst>
          </xdr:cNvPr>
          <xdr:cNvSpPr/>
        </xdr:nvSpPr>
        <xdr:spPr>
          <a:xfrm>
            <a:off x="431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93" name="QRIOS">
            <a:extLst>
              <a:ext uri="{FF2B5EF4-FFF2-40B4-BE49-F238E27FC236}">
                <a16:creationId xmlns:a16="http://schemas.microsoft.com/office/drawing/2014/main" id="{00000000-0008-0000-0400-000019030000}"/>
              </a:ext>
            </a:extLst>
          </xdr:cNvPr>
          <xdr:cNvSpPr/>
        </xdr:nvSpPr>
        <xdr:spPr>
          <a:xfrm>
            <a:off x="457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94" name="QRIOS">
            <a:extLst>
              <a:ext uri="{FF2B5EF4-FFF2-40B4-BE49-F238E27FC236}">
                <a16:creationId xmlns:a16="http://schemas.microsoft.com/office/drawing/2014/main" id="{00000000-0008-0000-0400-00001A030000}"/>
              </a:ext>
            </a:extLst>
          </xdr:cNvPr>
          <xdr:cNvSpPr/>
        </xdr:nvSpPr>
        <xdr:spPr>
          <a:xfrm>
            <a:off x="4699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95" name="QRIOS">
            <a:extLst>
              <a:ext uri="{FF2B5EF4-FFF2-40B4-BE49-F238E27FC236}">
                <a16:creationId xmlns:a16="http://schemas.microsoft.com/office/drawing/2014/main" id="{00000000-0008-0000-0400-00001B030000}"/>
              </a:ext>
            </a:extLst>
          </xdr:cNvPr>
          <xdr:cNvSpPr/>
        </xdr:nvSpPr>
        <xdr:spPr>
          <a:xfrm>
            <a:off x="482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96" name="QRIOS">
            <a:extLst>
              <a:ext uri="{FF2B5EF4-FFF2-40B4-BE49-F238E27FC236}">
                <a16:creationId xmlns:a16="http://schemas.microsoft.com/office/drawing/2014/main" id="{00000000-0008-0000-0400-00001C030000}"/>
              </a:ext>
            </a:extLst>
          </xdr:cNvPr>
          <xdr:cNvSpPr/>
        </xdr:nvSpPr>
        <xdr:spPr>
          <a:xfrm>
            <a:off x="508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97" name="QRIOS">
            <a:extLst>
              <a:ext uri="{FF2B5EF4-FFF2-40B4-BE49-F238E27FC236}">
                <a16:creationId xmlns:a16="http://schemas.microsoft.com/office/drawing/2014/main" id="{00000000-0008-0000-0400-00001D03000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98" name="QRIOS">
            <a:extLst>
              <a:ext uri="{FF2B5EF4-FFF2-40B4-BE49-F238E27FC236}">
                <a16:creationId xmlns:a16="http://schemas.microsoft.com/office/drawing/2014/main" id="{00000000-0008-0000-0400-00001E03000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99" name="QRIOS">
            <a:extLst>
              <a:ext uri="{FF2B5EF4-FFF2-40B4-BE49-F238E27FC236}">
                <a16:creationId xmlns:a16="http://schemas.microsoft.com/office/drawing/2014/main" id="{00000000-0008-0000-0400-00001F030000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00" name="QRIOS">
            <a:extLst>
              <a:ext uri="{FF2B5EF4-FFF2-40B4-BE49-F238E27FC236}">
                <a16:creationId xmlns:a16="http://schemas.microsoft.com/office/drawing/2014/main" id="{00000000-0008-0000-0400-000020030000}"/>
              </a:ext>
            </a:extLst>
          </xdr:cNvPr>
          <xdr:cNvSpPr/>
        </xdr:nvSpPr>
        <xdr:spPr>
          <a:xfrm>
            <a:off x="1143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01" name="QRIOS">
            <a:extLst>
              <a:ext uri="{FF2B5EF4-FFF2-40B4-BE49-F238E27FC236}">
                <a16:creationId xmlns:a16="http://schemas.microsoft.com/office/drawing/2014/main" id="{00000000-0008-0000-0400-000021030000}"/>
              </a:ext>
            </a:extLst>
          </xdr:cNvPr>
          <xdr:cNvSpPr/>
        </xdr:nvSpPr>
        <xdr:spPr>
          <a:xfrm>
            <a:off x="1270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02" name="QRIOS">
            <a:extLst>
              <a:ext uri="{FF2B5EF4-FFF2-40B4-BE49-F238E27FC236}">
                <a16:creationId xmlns:a16="http://schemas.microsoft.com/office/drawing/2014/main" id="{00000000-0008-0000-0400-000022030000}"/>
              </a:ext>
            </a:extLst>
          </xdr:cNvPr>
          <xdr:cNvSpPr/>
        </xdr:nvSpPr>
        <xdr:spPr>
          <a:xfrm>
            <a:off x="203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03" name="QRIOS">
            <a:extLst>
              <a:ext uri="{FF2B5EF4-FFF2-40B4-BE49-F238E27FC236}">
                <a16:creationId xmlns:a16="http://schemas.microsoft.com/office/drawing/2014/main" id="{00000000-0008-0000-0400-000023030000}"/>
              </a:ext>
            </a:extLst>
          </xdr:cNvPr>
          <xdr:cNvSpPr/>
        </xdr:nvSpPr>
        <xdr:spPr>
          <a:xfrm>
            <a:off x="2286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04" name="QRIOS">
            <a:extLst>
              <a:ext uri="{FF2B5EF4-FFF2-40B4-BE49-F238E27FC236}">
                <a16:creationId xmlns:a16="http://schemas.microsoft.com/office/drawing/2014/main" id="{00000000-0008-0000-0400-000024030000}"/>
              </a:ext>
            </a:extLst>
          </xdr:cNvPr>
          <xdr:cNvSpPr/>
        </xdr:nvSpPr>
        <xdr:spPr>
          <a:xfrm>
            <a:off x="2540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05" name="QRIOS">
            <a:extLst>
              <a:ext uri="{FF2B5EF4-FFF2-40B4-BE49-F238E27FC236}">
                <a16:creationId xmlns:a16="http://schemas.microsoft.com/office/drawing/2014/main" id="{00000000-0008-0000-0400-000025030000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06" name="QRIOS">
            <a:extLst>
              <a:ext uri="{FF2B5EF4-FFF2-40B4-BE49-F238E27FC236}">
                <a16:creationId xmlns:a16="http://schemas.microsoft.com/office/drawing/2014/main" id="{00000000-0008-0000-0400-000026030000}"/>
              </a:ext>
            </a:extLst>
          </xdr:cNvPr>
          <xdr:cNvSpPr/>
        </xdr:nvSpPr>
        <xdr:spPr>
          <a:xfrm>
            <a:off x="3048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07" name="QRIOS">
            <a:extLst>
              <a:ext uri="{FF2B5EF4-FFF2-40B4-BE49-F238E27FC236}">
                <a16:creationId xmlns:a16="http://schemas.microsoft.com/office/drawing/2014/main" id="{00000000-0008-0000-0400-000027030000}"/>
              </a:ext>
            </a:extLst>
          </xdr:cNvPr>
          <xdr:cNvSpPr/>
        </xdr:nvSpPr>
        <xdr:spPr>
          <a:xfrm>
            <a:off x="330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08" name="QRIOS">
            <a:extLst>
              <a:ext uri="{FF2B5EF4-FFF2-40B4-BE49-F238E27FC236}">
                <a16:creationId xmlns:a16="http://schemas.microsoft.com/office/drawing/2014/main" id="{00000000-0008-0000-0400-000028030000}"/>
              </a:ext>
            </a:extLst>
          </xdr:cNvPr>
          <xdr:cNvSpPr/>
        </xdr:nvSpPr>
        <xdr:spPr>
          <a:xfrm>
            <a:off x="3683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09" name="QRIOS">
            <a:extLst>
              <a:ext uri="{FF2B5EF4-FFF2-40B4-BE49-F238E27FC236}">
                <a16:creationId xmlns:a16="http://schemas.microsoft.com/office/drawing/2014/main" id="{00000000-0008-0000-0400-000029030000}"/>
              </a:ext>
            </a:extLst>
          </xdr:cNvPr>
          <xdr:cNvSpPr/>
        </xdr:nvSpPr>
        <xdr:spPr>
          <a:xfrm>
            <a:off x="406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10" name="QRIOS">
            <a:extLst>
              <a:ext uri="{FF2B5EF4-FFF2-40B4-BE49-F238E27FC236}">
                <a16:creationId xmlns:a16="http://schemas.microsoft.com/office/drawing/2014/main" id="{00000000-0008-0000-0400-00002A030000}"/>
              </a:ext>
            </a:extLst>
          </xdr:cNvPr>
          <xdr:cNvSpPr/>
        </xdr:nvSpPr>
        <xdr:spPr>
          <a:xfrm>
            <a:off x="4318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11" name="QRIOS">
            <a:extLst>
              <a:ext uri="{FF2B5EF4-FFF2-40B4-BE49-F238E27FC236}">
                <a16:creationId xmlns:a16="http://schemas.microsoft.com/office/drawing/2014/main" id="{00000000-0008-0000-0400-00002B030000}"/>
              </a:ext>
            </a:extLst>
          </xdr:cNvPr>
          <xdr:cNvSpPr/>
        </xdr:nvSpPr>
        <xdr:spPr>
          <a:xfrm>
            <a:off x="5080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12" name="QRIOS">
            <a:extLst>
              <a:ext uri="{FF2B5EF4-FFF2-40B4-BE49-F238E27FC236}">
                <a16:creationId xmlns:a16="http://schemas.microsoft.com/office/drawing/2014/main" id="{00000000-0008-0000-0400-00002C030000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13" name="QRIOS">
            <a:extLst>
              <a:ext uri="{FF2B5EF4-FFF2-40B4-BE49-F238E27FC236}">
                <a16:creationId xmlns:a16="http://schemas.microsoft.com/office/drawing/2014/main" id="{00000000-0008-0000-0400-00002D03000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14" name="QRIOS">
            <a:extLst>
              <a:ext uri="{FF2B5EF4-FFF2-40B4-BE49-F238E27FC236}">
                <a16:creationId xmlns:a16="http://schemas.microsoft.com/office/drawing/2014/main" id="{00000000-0008-0000-0400-00002E03000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15" name="QRIOS">
            <a:extLst>
              <a:ext uri="{FF2B5EF4-FFF2-40B4-BE49-F238E27FC236}">
                <a16:creationId xmlns:a16="http://schemas.microsoft.com/office/drawing/2014/main" id="{00000000-0008-0000-0400-00002F030000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16" name="QRIOS">
            <a:extLst>
              <a:ext uri="{FF2B5EF4-FFF2-40B4-BE49-F238E27FC236}">
                <a16:creationId xmlns:a16="http://schemas.microsoft.com/office/drawing/2014/main" id="{00000000-0008-0000-0400-00003003000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17" name="QRIOS">
            <a:extLst>
              <a:ext uri="{FF2B5EF4-FFF2-40B4-BE49-F238E27FC236}">
                <a16:creationId xmlns:a16="http://schemas.microsoft.com/office/drawing/2014/main" id="{00000000-0008-0000-0400-000031030000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18" name="QRIOS">
            <a:extLst>
              <a:ext uri="{FF2B5EF4-FFF2-40B4-BE49-F238E27FC236}">
                <a16:creationId xmlns:a16="http://schemas.microsoft.com/office/drawing/2014/main" id="{00000000-0008-0000-0400-00003203000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19" name="QRIOS">
            <a:extLst>
              <a:ext uri="{FF2B5EF4-FFF2-40B4-BE49-F238E27FC236}">
                <a16:creationId xmlns:a16="http://schemas.microsoft.com/office/drawing/2014/main" id="{00000000-0008-0000-0400-00003303000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20" name="QRIOS">
            <a:extLst>
              <a:ext uri="{FF2B5EF4-FFF2-40B4-BE49-F238E27FC236}">
                <a16:creationId xmlns:a16="http://schemas.microsoft.com/office/drawing/2014/main" id="{00000000-0008-0000-0400-000034030000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21" name="QRIOS">
            <a:extLst>
              <a:ext uri="{FF2B5EF4-FFF2-40B4-BE49-F238E27FC236}">
                <a16:creationId xmlns:a16="http://schemas.microsoft.com/office/drawing/2014/main" id="{00000000-0008-0000-0400-00003503000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22" name="QRIOS">
            <a:extLst>
              <a:ext uri="{FF2B5EF4-FFF2-40B4-BE49-F238E27FC236}">
                <a16:creationId xmlns:a16="http://schemas.microsoft.com/office/drawing/2014/main" id="{00000000-0008-0000-0400-00003603000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23" name="QRIOS">
            <a:extLst>
              <a:ext uri="{FF2B5EF4-FFF2-40B4-BE49-F238E27FC236}">
                <a16:creationId xmlns:a16="http://schemas.microsoft.com/office/drawing/2014/main" id="{00000000-0008-0000-0400-00003703000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24" name="QRIOS">
            <a:extLst>
              <a:ext uri="{FF2B5EF4-FFF2-40B4-BE49-F238E27FC236}">
                <a16:creationId xmlns:a16="http://schemas.microsoft.com/office/drawing/2014/main" id="{00000000-0008-0000-0400-00003803000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25" name="QRIOS">
            <a:extLst>
              <a:ext uri="{FF2B5EF4-FFF2-40B4-BE49-F238E27FC236}">
                <a16:creationId xmlns:a16="http://schemas.microsoft.com/office/drawing/2014/main" id="{00000000-0008-0000-0400-000039030000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26" name="QRIOS">
            <a:extLst>
              <a:ext uri="{FF2B5EF4-FFF2-40B4-BE49-F238E27FC236}">
                <a16:creationId xmlns:a16="http://schemas.microsoft.com/office/drawing/2014/main" id="{00000000-0008-0000-0400-00003A030000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27" name="QRIOS">
            <a:extLst>
              <a:ext uri="{FF2B5EF4-FFF2-40B4-BE49-F238E27FC236}">
                <a16:creationId xmlns:a16="http://schemas.microsoft.com/office/drawing/2014/main" id="{00000000-0008-0000-0400-00003B030000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28" name="QRIOS">
            <a:extLst>
              <a:ext uri="{FF2B5EF4-FFF2-40B4-BE49-F238E27FC236}">
                <a16:creationId xmlns:a16="http://schemas.microsoft.com/office/drawing/2014/main" id="{00000000-0008-0000-0400-00003C030000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29" name="QRIOS">
            <a:extLst>
              <a:ext uri="{FF2B5EF4-FFF2-40B4-BE49-F238E27FC236}">
                <a16:creationId xmlns:a16="http://schemas.microsoft.com/office/drawing/2014/main" id="{00000000-0008-0000-0400-00003D030000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30" name="QRIOS">
            <a:extLst>
              <a:ext uri="{FF2B5EF4-FFF2-40B4-BE49-F238E27FC236}">
                <a16:creationId xmlns:a16="http://schemas.microsoft.com/office/drawing/2014/main" id="{00000000-0008-0000-0400-00003E030000}"/>
              </a:ext>
            </a:extLst>
          </xdr:cNvPr>
          <xdr:cNvSpPr/>
        </xdr:nvSpPr>
        <xdr:spPr>
          <a:xfrm>
            <a:off x="381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31" name="QRIOS">
            <a:extLst>
              <a:ext uri="{FF2B5EF4-FFF2-40B4-BE49-F238E27FC236}">
                <a16:creationId xmlns:a16="http://schemas.microsoft.com/office/drawing/2014/main" id="{00000000-0008-0000-0400-00003F030000}"/>
              </a:ext>
            </a:extLst>
          </xdr:cNvPr>
          <xdr:cNvSpPr/>
        </xdr:nvSpPr>
        <xdr:spPr>
          <a:xfrm>
            <a:off x="406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32" name="QRIOS">
            <a:extLst>
              <a:ext uri="{FF2B5EF4-FFF2-40B4-BE49-F238E27FC236}">
                <a16:creationId xmlns:a16="http://schemas.microsoft.com/office/drawing/2014/main" id="{00000000-0008-0000-0400-000040030000}"/>
              </a:ext>
            </a:extLst>
          </xdr:cNvPr>
          <xdr:cNvSpPr/>
        </xdr:nvSpPr>
        <xdr:spPr>
          <a:xfrm>
            <a:off x="431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33" name="QRIOS">
            <a:extLst>
              <a:ext uri="{FF2B5EF4-FFF2-40B4-BE49-F238E27FC236}">
                <a16:creationId xmlns:a16="http://schemas.microsoft.com/office/drawing/2014/main" id="{00000000-0008-0000-0400-000041030000}"/>
              </a:ext>
            </a:extLst>
          </xdr:cNvPr>
          <xdr:cNvSpPr/>
        </xdr:nvSpPr>
        <xdr:spPr>
          <a:xfrm>
            <a:off x="444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34" name="QRIOS">
            <a:extLst>
              <a:ext uri="{FF2B5EF4-FFF2-40B4-BE49-F238E27FC236}">
                <a16:creationId xmlns:a16="http://schemas.microsoft.com/office/drawing/2014/main" id="{00000000-0008-0000-0400-000042030000}"/>
              </a:ext>
            </a:extLst>
          </xdr:cNvPr>
          <xdr:cNvSpPr/>
        </xdr:nvSpPr>
        <xdr:spPr>
          <a:xfrm>
            <a:off x="457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35" name="QRIOS">
            <a:extLst>
              <a:ext uri="{FF2B5EF4-FFF2-40B4-BE49-F238E27FC236}">
                <a16:creationId xmlns:a16="http://schemas.microsoft.com/office/drawing/2014/main" id="{00000000-0008-0000-0400-000043030000}"/>
              </a:ext>
            </a:extLst>
          </xdr:cNvPr>
          <xdr:cNvSpPr/>
        </xdr:nvSpPr>
        <xdr:spPr>
          <a:xfrm>
            <a:off x="4699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36" name="QRIOS">
            <a:extLst>
              <a:ext uri="{FF2B5EF4-FFF2-40B4-BE49-F238E27FC236}">
                <a16:creationId xmlns:a16="http://schemas.microsoft.com/office/drawing/2014/main" id="{00000000-0008-0000-0400-000044030000}"/>
              </a:ext>
            </a:extLst>
          </xdr:cNvPr>
          <xdr:cNvSpPr/>
        </xdr:nvSpPr>
        <xdr:spPr>
          <a:xfrm>
            <a:off x="482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37" name="QRIOS">
            <a:extLst>
              <a:ext uri="{FF2B5EF4-FFF2-40B4-BE49-F238E27FC236}">
                <a16:creationId xmlns:a16="http://schemas.microsoft.com/office/drawing/2014/main" id="{00000000-0008-0000-0400-000045030000}"/>
              </a:ext>
            </a:extLst>
          </xdr:cNvPr>
          <xdr:cNvSpPr/>
        </xdr:nvSpPr>
        <xdr:spPr>
          <a:xfrm>
            <a:off x="4953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38" name="QRIOS">
            <a:extLst>
              <a:ext uri="{FF2B5EF4-FFF2-40B4-BE49-F238E27FC236}">
                <a16:creationId xmlns:a16="http://schemas.microsoft.com/office/drawing/2014/main" id="{00000000-0008-0000-0400-000046030000}"/>
              </a:ext>
            </a:extLst>
          </xdr:cNvPr>
          <xdr:cNvSpPr/>
        </xdr:nvSpPr>
        <xdr:spPr>
          <a:xfrm>
            <a:off x="508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39" name="QRIOS">
            <a:extLst>
              <a:ext uri="{FF2B5EF4-FFF2-40B4-BE49-F238E27FC236}">
                <a16:creationId xmlns:a16="http://schemas.microsoft.com/office/drawing/2014/main" id="{00000000-0008-0000-0400-000047030000}"/>
              </a:ext>
            </a:extLst>
          </xdr:cNvPr>
          <xdr:cNvSpPr/>
        </xdr:nvSpPr>
        <xdr:spPr>
          <a:xfrm>
            <a:off x="1016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40" name="QRIOS">
            <a:extLst>
              <a:ext uri="{FF2B5EF4-FFF2-40B4-BE49-F238E27FC236}">
                <a16:creationId xmlns:a16="http://schemas.microsoft.com/office/drawing/2014/main" id="{00000000-0008-0000-0400-000048030000}"/>
              </a:ext>
            </a:extLst>
          </xdr:cNvPr>
          <xdr:cNvSpPr/>
        </xdr:nvSpPr>
        <xdr:spPr>
          <a:xfrm>
            <a:off x="139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41" name="QRIOS">
            <a:extLst>
              <a:ext uri="{FF2B5EF4-FFF2-40B4-BE49-F238E27FC236}">
                <a16:creationId xmlns:a16="http://schemas.microsoft.com/office/drawing/2014/main" id="{00000000-0008-0000-0400-000049030000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42" name="QRIOS">
            <a:extLst>
              <a:ext uri="{FF2B5EF4-FFF2-40B4-BE49-F238E27FC236}">
                <a16:creationId xmlns:a16="http://schemas.microsoft.com/office/drawing/2014/main" id="{00000000-0008-0000-0400-00004A030000}"/>
              </a:ext>
            </a:extLst>
          </xdr:cNvPr>
          <xdr:cNvSpPr/>
        </xdr:nvSpPr>
        <xdr:spPr>
          <a:xfrm>
            <a:off x="1778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43" name="QRIOS">
            <a:extLst>
              <a:ext uri="{FF2B5EF4-FFF2-40B4-BE49-F238E27FC236}">
                <a16:creationId xmlns:a16="http://schemas.microsoft.com/office/drawing/2014/main" id="{00000000-0008-0000-0400-00004B030000}"/>
              </a:ext>
            </a:extLst>
          </xdr:cNvPr>
          <xdr:cNvSpPr/>
        </xdr:nvSpPr>
        <xdr:spPr>
          <a:xfrm>
            <a:off x="2794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44" name="QRIOS">
            <a:extLst>
              <a:ext uri="{FF2B5EF4-FFF2-40B4-BE49-F238E27FC236}">
                <a16:creationId xmlns:a16="http://schemas.microsoft.com/office/drawing/2014/main" id="{00000000-0008-0000-0400-00004C030000}"/>
              </a:ext>
            </a:extLst>
          </xdr:cNvPr>
          <xdr:cNvSpPr/>
        </xdr:nvSpPr>
        <xdr:spPr>
          <a:xfrm>
            <a:off x="2921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45" name="QRIOS">
            <a:extLst>
              <a:ext uri="{FF2B5EF4-FFF2-40B4-BE49-F238E27FC236}">
                <a16:creationId xmlns:a16="http://schemas.microsoft.com/office/drawing/2014/main" id="{00000000-0008-0000-0400-00004D030000}"/>
              </a:ext>
            </a:extLst>
          </xdr:cNvPr>
          <xdr:cNvSpPr/>
        </xdr:nvSpPr>
        <xdr:spPr>
          <a:xfrm>
            <a:off x="3429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46" name="QRIOS">
            <a:extLst>
              <a:ext uri="{FF2B5EF4-FFF2-40B4-BE49-F238E27FC236}">
                <a16:creationId xmlns:a16="http://schemas.microsoft.com/office/drawing/2014/main" id="{00000000-0008-0000-0400-00004E030000}"/>
              </a:ext>
            </a:extLst>
          </xdr:cNvPr>
          <xdr:cNvSpPr/>
        </xdr:nvSpPr>
        <xdr:spPr>
          <a:xfrm>
            <a:off x="3556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47" name="QRIOS">
            <a:extLst>
              <a:ext uri="{FF2B5EF4-FFF2-40B4-BE49-F238E27FC236}">
                <a16:creationId xmlns:a16="http://schemas.microsoft.com/office/drawing/2014/main" id="{00000000-0008-0000-0400-00004F030000}"/>
              </a:ext>
            </a:extLst>
          </xdr:cNvPr>
          <xdr:cNvSpPr/>
        </xdr:nvSpPr>
        <xdr:spPr>
          <a:xfrm>
            <a:off x="3810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48" name="QRIOS">
            <a:extLst>
              <a:ext uri="{FF2B5EF4-FFF2-40B4-BE49-F238E27FC236}">
                <a16:creationId xmlns:a16="http://schemas.microsoft.com/office/drawing/2014/main" id="{00000000-0008-0000-0400-000050030000}"/>
              </a:ext>
            </a:extLst>
          </xdr:cNvPr>
          <xdr:cNvSpPr/>
        </xdr:nvSpPr>
        <xdr:spPr>
          <a:xfrm>
            <a:off x="393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49" name="QRIOS">
            <a:extLst>
              <a:ext uri="{FF2B5EF4-FFF2-40B4-BE49-F238E27FC236}">
                <a16:creationId xmlns:a16="http://schemas.microsoft.com/office/drawing/2014/main" id="{00000000-0008-0000-0400-000051030000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50" name="QRIOS">
            <a:extLst>
              <a:ext uri="{FF2B5EF4-FFF2-40B4-BE49-F238E27FC236}">
                <a16:creationId xmlns:a16="http://schemas.microsoft.com/office/drawing/2014/main" id="{00000000-0008-0000-0400-000052030000}"/>
              </a:ext>
            </a:extLst>
          </xdr:cNvPr>
          <xdr:cNvSpPr/>
        </xdr:nvSpPr>
        <xdr:spPr>
          <a:xfrm>
            <a:off x="12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51" name="QRIOS">
            <a:extLst>
              <a:ext uri="{FF2B5EF4-FFF2-40B4-BE49-F238E27FC236}">
                <a16:creationId xmlns:a16="http://schemas.microsoft.com/office/drawing/2014/main" id="{00000000-0008-0000-0400-000053030000}"/>
              </a:ext>
            </a:extLst>
          </xdr:cNvPr>
          <xdr:cNvSpPr/>
        </xdr:nvSpPr>
        <xdr:spPr>
          <a:xfrm>
            <a:off x="25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52" name="QRIOS">
            <a:extLst>
              <a:ext uri="{FF2B5EF4-FFF2-40B4-BE49-F238E27FC236}">
                <a16:creationId xmlns:a16="http://schemas.microsoft.com/office/drawing/2014/main" id="{00000000-0008-0000-0400-000054030000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53" name="QRIOS">
            <a:extLst>
              <a:ext uri="{FF2B5EF4-FFF2-40B4-BE49-F238E27FC236}">
                <a16:creationId xmlns:a16="http://schemas.microsoft.com/office/drawing/2014/main" id="{00000000-0008-0000-0400-00005503000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54" name="QRIOS">
            <a:extLst>
              <a:ext uri="{FF2B5EF4-FFF2-40B4-BE49-F238E27FC236}">
                <a16:creationId xmlns:a16="http://schemas.microsoft.com/office/drawing/2014/main" id="{00000000-0008-0000-0400-000056030000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55" name="QRIOS">
            <a:extLst>
              <a:ext uri="{FF2B5EF4-FFF2-40B4-BE49-F238E27FC236}">
                <a16:creationId xmlns:a16="http://schemas.microsoft.com/office/drawing/2014/main" id="{00000000-0008-0000-0400-000057030000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56" name="QRIOS">
            <a:extLst>
              <a:ext uri="{FF2B5EF4-FFF2-40B4-BE49-F238E27FC236}">
                <a16:creationId xmlns:a16="http://schemas.microsoft.com/office/drawing/2014/main" id="{00000000-0008-0000-0400-000058030000}"/>
              </a:ext>
            </a:extLst>
          </xdr:cNvPr>
          <xdr:cNvSpPr/>
        </xdr:nvSpPr>
        <xdr:spPr>
          <a:xfrm>
            <a:off x="190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57" name="QRIOS">
            <a:extLst>
              <a:ext uri="{FF2B5EF4-FFF2-40B4-BE49-F238E27FC236}">
                <a16:creationId xmlns:a16="http://schemas.microsoft.com/office/drawing/2014/main" id="{00000000-0008-0000-0400-00005903000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58" name="QRIOS">
            <a:extLst>
              <a:ext uri="{FF2B5EF4-FFF2-40B4-BE49-F238E27FC236}">
                <a16:creationId xmlns:a16="http://schemas.microsoft.com/office/drawing/2014/main" id="{00000000-0008-0000-0400-00005A030000}"/>
              </a:ext>
            </a:extLst>
          </xdr:cNvPr>
          <xdr:cNvSpPr/>
        </xdr:nvSpPr>
        <xdr:spPr>
          <a:xfrm>
            <a:off x="241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59" name="QRIOS">
            <a:extLst>
              <a:ext uri="{FF2B5EF4-FFF2-40B4-BE49-F238E27FC236}">
                <a16:creationId xmlns:a16="http://schemas.microsoft.com/office/drawing/2014/main" id="{00000000-0008-0000-0400-00005B030000}"/>
              </a:ext>
            </a:extLst>
          </xdr:cNvPr>
          <xdr:cNvSpPr/>
        </xdr:nvSpPr>
        <xdr:spPr>
          <a:xfrm>
            <a:off x="292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60" name="QRIOS">
            <a:extLst>
              <a:ext uri="{FF2B5EF4-FFF2-40B4-BE49-F238E27FC236}">
                <a16:creationId xmlns:a16="http://schemas.microsoft.com/office/drawing/2014/main" id="{00000000-0008-0000-0400-00005C030000}"/>
              </a:ext>
            </a:extLst>
          </xdr:cNvPr>
          <xdr:cNvSpPr/>
        </xdr:nvSpPr>
        <xdr:spPr>
          <a:xfrm>
            <a:off x="304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61" name="QRIOS">
            <a:extLst>
              <a:ext uri="{FF2B5EF4-FFF2-40B4-BE49-F238E27FC236}">
                <a16:creationId xmlns:a16="http://schemas.microsoft.com/office/drawing/2014/main" id="{00000000-0008-0000-0400-00005D030000}"/>
              </a:ext>
            </a:extLst>
          </xdr:cNvPr>
          <xdr:cNvSpPr/>
        </xdr:nvSpPr>
        <xdr:spPr>
          <a:xfrm>
            <a:off x="3556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62" name="QRIOS">
            <a:extLst>
              <a:ext uri="{FF2B5EF4-FFF2-40B4-BE49-F238E27FC236}">
                <a16:creationId xmlns:a16="http://schemas.microsoft.com/office/drawing/2014/main" id="{00000000-0008-0000-0400-00005E030000}"/>
              </a:ext>
            </a:extLst>
          </xdr:cNvPr>
          <xdr:cNvSpPr/>
        </xdr:nvSpPr>
        <xdr:spPr>
          <a:xfrm>
            <a:off x="393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63" name="QRIOS">
            <a:extLst>
              <a:ext uri="{FF2B5EF4-FFF2-40B4-BE49-F238E27FC236}">
                <a16:creationId xmlns:a16="http://schemas.microsoft.com/office/drawing/2014/main" id="{00000000-0008-0000-0400-00005F030000}"/>
              </a:ext>
            </a:extLst>
          </xdr:cNvPr>
          <xdr:cNvSpPr/>
        </xdr:nvSpPr>
        <xdr:spPr>
          <a:xfrm>
            <a:off x="406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64" name="QRIOS">
            <a:extLst>
              <a:ext uri="{FF2B5EF4-FFF2-40B4-BE49-F238E27FC236}">
                <a16:creationId xmlns:a16="http://schemas.microsoft.com/office/drawing/2014/main" id="{00000000-0008-0000-0400-000060030000}"/>
              </a:ext>
            </a:extLst>
          </xdr:cNvPr>
          <xdr:cNvSpPr/>
        </xdr:nvSpPr>
        <xdr:spPr>
          <a:xfrm>
            <a:off x="419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65" name="QRIOS">
            <a:extLst>
              <a:ext uri="{FF2B5EF4-FFF2-40B4-BE49-F238E27FC236}">
                <a16:creationId xmlns:a16="http://schemas.microsoft.com/office/drawing/2014/main" id="{00000000-0008-0000-0400-000061030000}"/>
              </a:ext>
            </a:extLst>
          </xdr:cNvPr>
          <xdr:cNvSpPr/>
        </xdr:nvSpPr>
        <xdr:spPr>
          <a:xfrm>
            <a:off x="431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66" name="QRIOS">
            <a:extLst>
              <a:ext uri="{FF2B5EF4-FFF2-40B4-BE49-F238E27FC236}">
                <a16:creationId xmlns:a16="http://schemas.microsoft.com/office/drawing/2014/main" id="{00000000-0008-0000-0400-000062030000}"/>
              </a:ext>
            </a:extLst>
          </xdr:cNvPr>
          <xdr:cNvSpPr/>
        </xdr:nvSpPr>
        <xdr:spPr>
          <a:xfrm>
            <a:off x="444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67" name="QRIOS">
            <a:extLst>
              <a:ext uri="{FF2B5EF4-FFF2-40B4-BE49-F238E27FC236}">
                <a16:creationId xmlns:a16="http://schemas.microsoft.com/office/drawing/2014/main" id="{00000000-0008-0000-0400-000063030000}"/>
              </a:ext>
            </a:extLst>
          </xdr:cNvPr>
          <xdr:cNvSpPr/>
        </xdr:nvSpPr>
        <xdr:spPr>
          <a:xfrm>
            <a:off x="457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68" name="QRIOS">
            <a:extLst>
              <a:ext uri="{FF2B5EF4-FFF2-40B4-BE49-F238E27FC236}">
                <a16:creationId xmlns:a16="http://schemas.microsoft.com/office/drawing/2014/main" id="{00000000-0008-0000-0400-000064030000}"/>
              </a:ext>
            </a:extLst>
          </xdr:cNvPr>
          <xdr:cNvSpPr/>
        </xdr:nvSpPr>
        <xdr:spPr>
          <a:xfrm>
            <a:off x="495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69" name="QRIOS">
            <a:extLst>
              <a:ext uri="{FF2B5EF4-FFF2-40B4-BE49-F238E27FC236}">
                <a16:creationId xmlns:a16="http://schemas.microsoft.com/office/drawing/2014/main" id="{00000000-0008-0000-0400-000065030000}"/>
              </a:ext>
            </a:extLst>
          </xdr:cNvPr>
          <xdr:cNvSpPr/>
        </xdr:nvSpPr>
        <xdr:spPr>
          <a:xfrm>
            <a:off x="5080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70" name="QRIOS">
            <a:extLst>
              <a:ext uri="{FF2B5EF4-FFF2-40B4-BE49-F238E27FC236}">
                <a16:creationId xmlns:a16="http://schemas.microsoft.com/office/drawing/2014/main" id="{00000000-0008-0000-0400-000066030000}"/>
              </a:ext>
            </a:extLst>
          </xdr:cNvPr>
          <xdr:cNvSpPr/>
        </xdr:nvSpPr>
        <xdr:spPr>
          <a:xfrm>
            <a:off x="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71" name="QRIOS">
            <a:extLst>
              <a:ext uri="{FF2B5EF4-FFF2-40B4-BE49-F238E27FC236}">
                <a16:creationId xmlns:a16="http://schemas.microsoft.com/office/drawing/2014/main" id="{00000000-0008-0000-0400-000067030000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72" name="QRIOS">
            <a:extLst>
              <a:ext uri="{FF2B5EF4-FFF2-40B4-BE49-F238E27FC236}">
                <a16:creationId xmlns:a16="http://schemas.microsoft.com/office/drawing/2014/main" id="{00000000-0008-0000-0400-000068030000}"/>
              </a:ext>
            </a:extLst>
          </xdr:cNvPr>
          <xdr:cNvSpPr/>
        </xdr:nvSpPr>
        <xdr:spPr>
          <a:xfrm>
            <a:off x="38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73" name="QRIOS">
            <a:extLst>
              <a:ext uri="{FF2B5EF4-FFF2-40B4-BE49-F238E27FC236}">
                <a16:creationId xmlns:a16="http://schemas.microsoft.com/office/drawing/2014/main" id="{00000000-0008-0000-0400-000069030000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74" name="QRIOS">
            <a:extLst>
              <a:ext uri="{FF2B5EF4-FFF2-40B4-BE49-F238E27FC236}">
                <a16:creationId xmlns:a16="http://schemas.microsoft.com/office/drawing/2014/main" id="{00000000-0008-0000-0400-00006A030000}"/>
              </a:ext>
            </a:extLst>
          </xdr:cNvPr>
          <xdr:cNvSpPr/>
        </xdr:nvSpPr>
        <xdr:spPr>
          <a:xfrm>
            <a:off x="635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75" name="QRIOS">
            <a:extLst>
              <a:ext uri="{FF2B5EF4-FFF2-40B4-BE49-F238E27FC236}">
                <a16:creationId xmlns:a16="http://schemas.microsoft.com/office/drawing/2014/main" id="{00000000-0008-0000-0400-00006B030000}"/>
              </a:ext>
            </a:extLst>
          </xdr:cNvPr>
          <xdr:cNvSpPr/>
        </xdr:nvSpPr>
        <xdr:spPr>
          <a:xfrm>
            <a:off x="127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76" name="QRIOS">
            <a:extLst>
              <a:ext uri="{FF2B5EF4-FFF2-40B4-BE49-F238E27FC236}">
                <a16:creationId xmlns:a16="http://schemas.microsoft.com/office/drawing/2014/main" id="{00000000-0008-0000-0400-00006C030000}"/>
              </a:ext>
            </a:extLst>
          </xdr:cNvPr>
          <xdr:cNvSpPr/>
        </xdr:nvSpPr>
        <xdr:spPr>
          <a:xfrm>
            <a:off x="152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77" name="QRIOS">
            <a:extLst>
              <a:ext uri="{FF2B5EF4-FFF2-40B4-BE49-F238E27FC236}">
                <a16:creationId xmlns:a16="http://schemas.microsoft.com/office/drawing/2014/main" id="{00000000-0008-0000-0400-00006D030000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78" name="QRIOS">
            <a:extLst>
              <a:ext uri="{FF2B5EF4-FFF2-40B4-BE49-F238E27FC236}">
                <a16:creationId xmlns:a16="http://schemas.microsoft.com/office/drawing/2014/main" id="{00000000-0008-0000-0400-00006E030000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79" name="QRIOS">
            <a:extLst>
              <a:ext uri="{FF2B5EF4-FFF2-40B4-BE49-F238E27FC236}">
                <a16:creationId xmlns:a16="http://schemas.microsoft.com/office/drawing/2014/main" id="{00000000-0008-0000-0400-00006F030000}"/>
              </a:ext>
            </a:extLst>
          </xdr:cNvPr>
          <xdr:cNvSpPr/>
        </xdr:nvSpPr>
        <xdr:spPr>
          <a:xfrm>
            <a:off x="2032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80" name="QRIOS">
            <a:extLst>
              <a:ext uri="{FF2B5EF4-FFF2-40B4-BE49-F238E27FC236}">
                <a16:creationId xmlns:a16="http://schemas.microsoft.com/office/drawing/2014/main" id="{00000000-0008-0000-0400-000070030000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81" name="QRIOS">
            <a:extLst>
              <a:ext uri="{FF2B5EF4-FFF2-40B4-BE49-F238E27FC236}">
                <a16:creationId xmlns:a16="http://schemas.microsoft.com/office/drawing/2014/main" id="{00000000-0008-0000-0400-000071030000}"/>
              </a:ext>
            </a:extLst>
          </xdr:cNvPr>
          <xdr:cNvSpPr/>
        </xdr:nvSpPr>
        <xdr:spPr>
          <a:xfrm>
            <a:off x="2413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82" name="QRIOS">
            <a:extLst>
              <a:ext uri="{FF2B5EF4-FFF2-40B4-BE49-F238E27FC236}">
                <a16:creationId xmlns:a16="http://schemas.microsoft.com/office/drawing/2014/main" id="{00000000-0008-0000-0400-000072030000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83" name="QRIOS">
            <a:extLst>
              <a:ext uri="{FF2B5EF4-FFF2-40B4-BE49-F238E27FC236}">
                <a16:creationId xmlns:a16="http://schemas.microsoft.com/office/drawing/2014/main" id="{00000000-0008-0000-0400-000073030000}"/>
              </a:ext>
            </a:extLst>
          </xdr:cNvPr>
          <xdr:cNvSpPr/>
        </xdr:nvSpPr>
        <xdr:spPr>
          <a:xfrm>
            <a:off x="266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84" name="QRIOS">
            <a:extLst>
              <a:ext uri="{FF2B5EF4-FFF2-40B4-BE49-F238E27FC236}">
                <a16:creationId xmlns:a16="http://schemas.microsoft.com/office/drawing/2014/main" id="{00000000-0008-0000-0400-000074030000}"/>
              </a:ext>
            </a:extLst>
          </xdr:cNvPr>
          <xdr:cNvSpPr/>
        </xdr:nvSpPr>
        <xdr:spPr>
          <a:xfrm>
            <a:off x="279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85" name="QRIOS">
            <a:extLst>
              <a:ext uri="{FF2B5EF4-FFF2-40B4-BE49-F238E27FC236}">
                <a16:creationId xmlns:a16="http://schemas.microsoft.com/office/drawing/2014/main" id="{00000000-0008-0000-0400-000075030000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86" name="QRIOS">
            <a:extLst>
              <a:ext uri="{FF2B5EF4-FFF2-40B4-BE49-F238E27FC236}">
                <a16:creationId xmlns:a16="http://schemas.microsoft.com/office/drawing/2014/main" id="{00000000-0008-0000-0400-000076030000}"/>
              </a:ext>
            </a:extLst>
          </xdr:cNvPr>
          <xdr:cNvSpPr/>
        </xdr:nvSpPr>
        <xdr:spPr>
          <a:xfrm>
            <a:off x="3048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87" name="QRIOS">
            <a:extLst>
              <a:ext uri="{FF2B5EF4-FFF2-40B4-BE49-F238E27FC236}">
                <a16:creationId xmlns:a16="http://schemas.microsoft.com/office/drawing/2014/main" id="{00000000-0008-0000-0400-000077030000}"/>
              </a:ext>
            </a:extLst>
          </xdr:cNvPr>
          <xdr:cNvSpPr/>
        </xdr:nvSpPr>
        <xdr:spPr>
          <a:xfrm>
            <a:off x="3175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88" name="QRIOS">
            <a:extLst>
              <a:ext uri="{FF2B5EF4-FFF2-40B4-BE49-F238E27FC236}">
                <a16:creationId xmlns:a16="http://schemas.microsoft.com/office/drawing/2014/main" id="{00000000-0008-0000-0400-000078030000}"/>
              </a:ext>
            </a:extLst>
          </xdr:cNvPr>
          <xdr:cNvSpPr/>
        </xdr:nvSpPr>
        <xdr:spPr>
          <a:xfrm>
            <a:off x="3429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89" name="QRIOS">
            <a:extLst>
              <a:ext uri="{FF2B5EF4-FFF2-40B4-BE49-F238E27FC236}">
                <a16:creationId xmlns:a16="http://schemas.microsoft.com/office/drawing/2014/main" id="{00000000-0008-0000-0400-000079030000}"/>
              </a:ext>
            </a:extLst>
          </xdr:cNvPr>
          <xdr:cNvSpPr/>
        </xdr:nvSpPr>
        <xdr:spPr>
          <a:xfrm>
            <a:off x="355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90" name="QRIOS">
            <a:extLst>
              <a:ext uri="{FF2B5EF4-FFF2-40B4-BE49-F238E27FC236}">
                <a16:creationId xmlns:a16="http://schemas.microsoft.com/office/drawing/2014/main" id="{00000000-0008-0000-0400-00007A030000}"/>
              </a:ext>
            </a:extLst>
          </xdr:cNvPr>
          <xdr:cNvSpPr/>
        </xdr:nvSpPr>
        <xdr:spPr>
          <a:xfrm>
            <a:off x="381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91" name="QRIOS">
            <a:extLst>
              <a:ext uri="{FF2B5EF4-FFF2-40B4-BE49-F238E27FC236}">
                <a16:creationId xmlns:a16="http://schemas.microsoft.com/office/drawing/2014/main" id="{00000000-0008-0000-0400-00007B030000}"/>
              </a:ext>
            </a:extLst>
          </xdr:cNvPr>
          <xdr:cNvSpPr/>
        </xdr:nvSpPr>
        <xdr:spPr>
          <a:xfrm>
            <a:off x="393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92" name="QRIOS">
            <a:extLst>
              <a:ext uri="{FF2B5EF4-FFF2-40B4-BE49-F238E27FC236}">
                <a16:creationId xmlns:a16="http://schemas.microsoft.com/office/drawing/2014/main" id="{00000000-0008-0000-0400-00007C030000}"/>
              </a:ext>
            </a:extLst>
          </xdr:cNvPr>
          <xdr:cNvSpPr/>
        </xdr:nvSpPr>
        <xdr:spPr>
          <a:xfrm>
            <a:off x="406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93" name="QRIOS">
            <a:extLst>
              <a:ext uri="{FF2B5EF4-FFF2-40B4-BE49-F238E27FC236}">
                <a16:creationId xmlns:a16="http://schemas.microsoft.com/office/drawing/2014/main" id="{00000000-0008-0000-0400-00007D030000}"/>
              </a:ext>
            </a:extLst>
          </xdr:cNvPr>
          <xdr:cNvSpPr/>
        </xdr:nvSpPr>
        <xdr:spPr>
          <a:xfrm>
            <a:off x="4318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94" name="QRIOS">
            <a:extLst>
              <a:ext uri="{FF2B5EF4-FFF2-40B4-BE49-F238E27FC236}">
                <a16:creationId xmlns:a16="http://schemas.microsoft.com/office/drawing/2014/main" id="{00000000-0008-0000-0400-00007E030000}"/>
              </a:ext>
            </a:extLst>
          </xdr:cNvPr>
          <xdr:cNvSpPr/>
        </xdr:nvSpPr>
        <xdr:spPr>
          <a:xfrm>
            <a:off x="4445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95" name="QRIOS">
            <a:extLst>
              <a:ext uri="{FF2B5EF4-FFF2-40B4-BE49-F238E27FC236}">
                <a16:creationId xmlns:a16="http://schemas.microsoft.com/office/drawing/2014/main" id="{00000000-0008-0000-0400-00007F030000}"/>
              </a:ext>
            </a:extLst>
          </xdr:cNvPr>
          <xdr:cNvSpPr/>
        </xdr:nvSpPr>
        <xdr:spPr>
          <a:xfrm>
            <a:off x="4699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96" name="QRIOS">
            <a:extLst>
              <a:ext uri="{FF2B5EF4-FFF2-40B4-BE49-F238E27FC236}">
                <a16:creationId xmlns:a16="http://schemas.microsoft.com/office/drawing/2014/main" id="{00000000-0008-0000-0400-000080030000}"/>
              </a:ext>
            </a:extLst>
          </xdr:cNvPr>
          <xdr:cNvSpPr/>
        </xdr:nvSpPr>
        <xdr:spPr>
          <a:xfrm>
            <a:off x="482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97" name="QRIOS">
            <a:extLst>
              <a:ext uri="{FF2B5EF4-FFF2-40B4-BE49-F238E27FC236}">
                <a16:creationId xmlns:a16="http://schemas.microsoft.com/office/drawing/2014/main" id="{00000000-0008-0000-0400-000081030000}"/>
              </a:ext>
            </a:extLst>
          </xdr:cNvPr>
          <xdr:cNvSpPr/>
        </xdr:nvSpPr>
        <xdr:spPr>
          <a:xfrm>
            <a:off x="508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98" name="QRIOS">
            <a:extLst>
              <a:ext uri="{FF2B5EF4-FFF2-40B4-BE49-F238E27FC236}">
                <a16:creationId xmlns:a16="http://schemas.microsoft.com/office/drawing/2014/main" id="{00000000-0008-0000-0400-000082030000}"/>
              </a:ext>
            </a:extLst>
          </xdr:cNvPr>
          <xdr:cNvSpPr/>
        </xdr:nvSpPr>
        <xdr:spPr>
          <a:xfrm>
            <a:off x="12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99" name="QRIOS">
            <a:extLst>
              <a:ext uri="{FF2B5EF4-FFF2-40B4-BE49-F238E27FC236}">
                <a16:creationId xmlns:a16="http://schemas.microsoft.com/office/drawing/2014/main" id="{00000000-0008-0000-0400-000083030000}"/>
              </a:ext>
            </a:extLst>
          </xdr:cNvPr>
          <xdr:cNvSpPr/>
        </xdr:nvSpPr>
        <xdr:spPr>
          <a:xfrm>
            <a:off x="25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00" name="QRIOS">
            <a:extLst>
              <a:ext uri="{FF2B5EF4-FFF2-40B4-BE49-F238E27FC236}">
                <a16:creationId xmlns:a16="http://schemas.microsoft.com/office/drawing/2014/main" id="{00000000-0008-0000-0400-000084030000}"/>
              </a:ext>
            </a:extLst>
          </xdr:cNvPr>
          <xdr:cNvSpPr/>
        </xdr:nvSpPr>
        <xdr:spPr>
          <a:xfrm>
            <a:off x="381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01" name="QRIOS">
            <a:extLst>
              <a:ext uri="{FF2B5EF4-FFF2-40B4-BE49-F238E27FC236}">
                <a16:creationId xmlns:a16="http://schemas.microsoft.com/office/drawing/2014/main" id="{00000000-0008-0000-0400-000085030000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02" name="QRIOS">
            <a:extLst>
              <a:ext uri="{FF2B5EF4-FFF2-40B4-BE49-F238E27FC236}">
                <a16:creationId xmlns:a16="http://schemas.microsoft.com/office/drawing/2014/main" id="{00000000-0008-0000-0400-000086030000}"/>
              </a:ext>
            </a:extLst>
          </xdr:cNvPr>
          <xdr:cNvSpPr/>
        </xdr:nvSpPr>
        <xdr:spPr>
          <a:xfrm>
            <a:off x="63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03" name="QRIOS">
            <a:extLst>
              <a:ext uri="{FF2B5EF4-FFF2-40B4-BE49-F238E27FC236}">
                <a16:creationId xmlns:a16="http://schemas.microsoft.com/office/drawing/2014/main" id="{00000000-0008-0000-0400-000087030000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04" name="QRIOS">
            <a:extLst>
              <a:ext uri="{FF2B5EF4-FFF2-40B4-BE49-F238E27FC236}">
                <a16:creationId xmlns:a16="http://schemas.microsoft.com/office/drawing/2014/main" id="{00000000-0008-0000-0400-000088030000}"/>
              </a:ext>
            </a:extLst>
          </xdr:cNvPr>
          <xdr:cNvSpPr/>
        </xdr:nvSpPr>
        <xdr:spPr>
          <a:xfrm>
            <a:off x="1016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05" name="QRIOS">
            <a:extLst>
              <a:ext uri="{FF2B5EF4-FFF2-40B4-BE49-F238E27FC236}">
                <a16:creationId xmlns:a16="http://schemas.microsoft.com/office/drawing/2014/main" id="{00000000-0008-0000-0400-000089030000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06" name="QRIOS">
            <a:extLst>
              <a:ext uri="{FF2B5EF4-FFF2-40B4-BE49-F238E27FC236}">
                <a16:creationId xmlns:a16="http://schemas.microsoft.com/office/drawing/2014/main" id="{00000000-0008-0000-0400-00008A030000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07" name="QRIOS">
            <a:extLst>
              <a:ext uri="{FF2B5EF4-FFF2-40B4-BE49-F238E27FC236}">
                <a16:creationId xmlns:a16="http://schemas.microsoft.com/office/drawing/2014/main" id="{00000000-0008-0000-0400-00008B030000}"/>
              </a:ext>
            </a:extLst>
          </xdr:cNvPr>
          <xdr:cNvSpPr/>
        </xdr:nvSpPr>
        <xdr:spPr>
          <a:xfrm>
            <a:off x="152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08" name="QRIOS">
            <a:extLst>
              <a:ext uri="{FF2B5EF4-FFF2-40B4-BE49-F238E27FC236}">
                <a16:creationId xmlns:a16="http://schemas.microsoft.com/office/drawing/2014/main" id="{00000000-0008-0000-0400-00008C030000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09" name="QRIOS">
            <a:extLst>
              <a:ext uri="{FF2B5EF4-FFF2-40B4-BE49-F238E27FC236}">
                <a16:creationId xmlns:a16="http://schemas.microsoft.com/office/drawing/2014/main" id="{00000000-0008-0000-0400-00008D030000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10" name="QRIOS">
            <a:extLst>
              <a:ext uri="{FF2B5EF4-FFF2-40B4-BE49-F238E27FC236}">
                <a16:creationId xmlns:a16="http://schemas.microsoft.com/office/drawing/2014/main" id="{00000000-0008-0000-0400-00008E030000}"/>
              </a:ext>
            </a:extLst>
          </xdr:cNvPr>
          <xdr:cNvSpPr/>
        </xdr:nvSpPr>
        <xdr:spPr>
          <a:xfrm>
            <a:off x="2286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11" name="QRIOS">
            <a:extLst>
              <a:ext uri="{FF2B5EF4-FFF2-40B4-BE49-F238E27FC236}">
                <a16:creationId xmlns:a16="http://schemas.microsoft.com/office/drawing/2014/main" id="{00000000-0008-0000-0400-00008F030000}"/>
              </a:ext>
            </a:extLst>
          </xdr:cNvPr>
          <xdr:cNvSpPr/>
        </xdr:nvSpPr>
        <xdr:spPr>
          <a:xfrm>
            <a:off x="2413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12" name="QRIOS">
            <a:extLst>
              <a:ext uri="{FF2B5EF4-FFF2-40B4-BE49-F238E27FC236}">
                <a16:creationId xmlns:a16="http://schemas.microsoft.com/office/drawing/2014/main" id="{00000000-0008-0000-0400-000090030000}"/>
              </a:ext>
            </a:extLst>
          </xdr:cNvPr>
          <xdr:cNvSpPr/>
        </xdr:nvSpPr>
        <xdr:spPr>
          <a:xfrm>
            <a:off x="254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13" name="QRIOS">
            <a:extLst>
              <a:ext uri="{FF2B5EF4-FFF2-40B4-BE49-F238E27FC236}">
                <a16:creationId xmlns:a16="http://schemas.microsoft.com/office/drawing/2014/main" id="{00000000-0008-0000-0400-000091030000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14" name="QRIOS">
            <a:extLst>
              <a:ext uri="{FF2B5EF4-FFF2-40B4-BE49-F238E27FC236}">
                <a16:creationId xmlns:a16="http://schemas.microsoft.com/office/drawing/2014/main" id="{00000000-0008-0000-0400-000092030000}"/>
              </a:ext>
            </a:extLst>
          </xdr:cNvPr>
          <xdr:cNvSpPr/>
        </xdr:nvSpPr>
        <xdr:spPr>
          <a:xfrm>
            <a:off x="2921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15" name="QRIOS">
            <a:extLst>
              <a:ext uri="{FF2B5EF4-FFF2-40B4-BE49-F238E27FC236}">
                <a16:creationId xmlns:a16="http://schemas.microsoft.com/office/drawing/2014/main" id="{00000000-0008-0000-0400-000093030000}"/>
              </a:ext>
            </a:extLst>
          </xdr:cNvPr>
          <xdr:cNvSpPr/>
        </xdr:nvSpPr>
        <xdr:spPr>
          <a:xfrm>
            <a:off x="342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16" name="QRIOS">
            <a:extLst>
              <a:ext uri="{FF2B5EF4-FFF2-40B4-BE49-F238E27FC236}">
                <a16:creationId xmlns:a16="http://schemas.microsoft.com/office/drawing/2014/main" id="{00000000-0008-0000-0400-000094030000}"/>
              </a:ext>
            </a:extLst>
          </xdr:cNvPr>
          <xdr:cNvSpPr/>
        </xdr:nvSpPr>
        <xdr:spPr>
          <a:xfrm>
            <a:off x="381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17" name="QRIOS">
            <a:extLst>
              <a:ext uri="{FF2B5EF4-FFF2-40B4-BE49-F238E27FC236}">
                <a16:creationId xmlns:a16="http://schemas.microsoft.com/office/drawing/2014/main" id="{00000000-0008-0000-0400-000095030000}"/>
              </a:ext>
            </a:extLst>
          </xdr:cNvPr>
          <xdr:cNvSpPr/>
        </xdr:nvSpPr>
        <xdr:spPr>
          <a:xfrm>
            <a:off x="393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18" name="QRIOS">
            <a:extLst>
              <a:ext uri="{FF2B5EF4-FFF2-40B4-BE49-F238E27FC236}">
                <a16:creationId xmlns:a16="http://schemas.microsoft.com/office/drawing/2014/main" id="{00000000-0008-0000-0400-000096030000}"/>
              </a:ext>
            </a:extLst>
          </xdr:cNvPr>
          <xdr:cNvSpPr/>
        </xdr:nvSpPr>
        <xdr:spPr>
          <a:xfrm>
            <a:off x="4191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19" name="QRIOS">
            <a:extLst>
              <a:ext uri="{FF2B5EF4-FFF2-40B4-BE49-F238E27FC236}">
                <a16:creationId xmlns:a16="http://schemas.microsoft.com/office/drawing/2014/main" id="{00000000-0008-0000-0400-000097030000}"/>
              </a:ext>
            </a:extLst>
          </xdr:cNvPr>
          <xdr:cNvSpPr/>
        </xdr:nvSpPr>
        <xdr:spPr>
          <a:xfrm>
            <a:off x="4318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20" name="QRIOS">
            <a:extLst>
              <a:ext uri="{FF2B5EF4-FFF2-40B4-BE49-F238E27FC236}">
                <a16:creationId xmlns:a16="http://schemas.microsoft.com/office/drawing/2014/main" id="{00000000-0008-0000-0400-000098030000}"/>
              </a:ext>
            </a:extLst>
          </xdr:cNvPr>
          <xdr:cNvSpPr/>
        </xdr:nvSpPr>
        <xdr:spPr>
          <a:xfrm>
            <a:off x="457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21" name="QRIOS">
            <a:extLst>
              <a:ext uri="{FF2B5EF4-FFF2-40B4-BE49-F238E27FC236}">
                <a16:creationId xmlns:a16="http://schemas.microsoft.com/office/drawing/2014/main" id="{00000000-0008-0000-0400-000099030000}"/>
              </a:ext>
            </a:extLst>
          </xdr:cNvPr>
          <xdr:cNvSpPr/>
        </xdr:nvSpPr>
        <xdr:spPr>
          <a:xfrm>
            <a:off x="4826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22" name="QRIOS">
            <a:extLst>
              <a:ext uri="{FF2B5EF4-FFF2-40B4-BE49-F238E27FC236}">
                <a16:creationId xmlns:a16="http://schemas.microsoft.com/office/drawing/2014/main" id="{00000000-0008-0000-0400-00009A030000}"/>
              </a:ext>
            </a:extLst>
          </xdr:cNvPr>
          <xdr:cNvSpPr/>
        </xdr:nvSpPr>
        <xdr:spPr>
          <a:xfrm>
            <a:off x="4953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23" name="QRIOS">
            <a:extLst>
              <a:ext uri="{FF2B5EF4-FFF2-40B4-BE49-F238E27FC236}">
                <a16:creationId xmlns:a16="http://schemas.microsoft.com/office/drawing/2014/main" id="{00000000-0008-0000-0400-00009B030000}"/>
              </a:ext>
            </a:extLst>
          </xdr:cNvPr>
          <xdr:cNvSpPr/>
        </xdr:nvSpPr>
        <xdr:spPr>
          <a:xfrm>
            <a:off x="508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24" name="QRIOS">
            <a:extLst>
              <a:ext uri="{FF2B5EF4-FFF2-40B4-BE49-F238E27FC236}">
                <a16:creationId xmlns:a16="http://schemas.microsoft.com/office/drawing/2014/main" id="{00000000-0008-0000-0400-00009C030000}"/>
              </a:ext>
            </a:extLst>
          </xdr:cNvPr>
          <xdr:cNvSpPr/>
        </xdr:nvSpPr>
        <xdr:spPr>
          <a:xfrm>
            <a:off x="38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25" name="QRIOS">
            <a:extLst>
              <a:ext uri="{FF2B5EF4-FFF2-40B4-BE49-F238E27FC236}">
                <a16:creationId xmlns:a16="http://schemas.microsoft.com/office/drawing/2014/main" id="{00000000-0008-0000-0400-00009D030000}"/>
              </a:ext>
            </a:extLst>
          </xdr:cNvPr>
          <xdr:cNvSpPr/>
        </xdr:nvSpPr>
        <xdr:spPr>
          <a:xfrm>
            <a:off x="63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26" name="QRIOS">
            <a:extLst>
              <a:ext uri="{FF2B5EF4-FFF2-40B4-BE49-F238E27FC236}">
                <a16:creationId xmlns:a16="http://schemas.microsoft.com/office/drawing/2014/main" id="{00000000-0008-0000-0400-00009E030000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27" name="QRIOS">
            <a:extLst>
              <a:ext uri="{FF2B5EF4-FFF2-40B4-BE49-F238E27FC236}">
                <a16:creationId xmlns:a16="http://schemas.microsoft.com/office/drawing/2014/main" id="{00000000-0008-0000-0400-00009F030000}"/>
              </a:ext>
            </a:extLst>
          </xdr:cNvPr>
          <xdr:cNvSpPr/>
        </xdr:nvSpPr>
        <xdr:spPr>
          <a:xfrm>
            <a:off x="1016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28" name="QRIOS">
            <a:extLst>
              <a:ext uri="{FF2B5EF4-FFF2-40B4-BE49-F238E27FC236}">
                <a16:creationId xmlns:a16="http://schemas.microsoft.com/office/drawing/2014/main" id="{00000000-0008-0000-0400-0000A0030000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29" name="QRIOS">
            <a:extLst>
              <a:ext uri="{FF2B5EF4-FFF2-40B4-BE49-F238E27FC236}">
                <a16:creationId xmlns:a16="http://schemas.microsoft.com/office/drawing/2014/main" id="{00000000-0008-0000-0400-0000A1030000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30" name="QRIOS">
            <a:extLst>
              <a:ext uri="{FF2B5EF4-FFF2-40B4-BE49-F238E27FC236}">
                <a16:creationId xmlns:a16="http://schemas.microsoft.com/office/drawing/2014/main" id="{00000000-0008-0000-0400-0000A2030000}"/>
              </a:ext>
            </a:extLst>
          </xdr:cNvPr>
          <xdr:cNvSpPr/>
        </xdr:nvSpPr>
        <xdr:spPr>
          <a:xfrm>
            <a:off x="2286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31" name="QRIOS">
            <a:extLst>
              <a:ext uri="{FF2B5EF4-FFF2-40B4-BE49-F238E27FC236}">
                <a16:creationId xmlns:a16="http://schemas.microsoft.com/office/drawing/2014/main" id="{00000000-0008-0000-0400-0000A3030000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32" name="QRIOS">
            <a:extLst>
              <a:ext uri="{FF2B5EF4-FFF2-40B4-BE49-F238E27FC236}">
                <a16:creationId xmlns:a16="http://schemas.microsoft.com/office/drawing/2014/main" id="{00000000-0008-0000-0400-0000A4030000}"/>
              </a:ext>
            </a:extLst>
          </xdr:cNvPr>
          <xdr:cNvSpPr/>
        </xdr:nvSpPr>
        <xdr:spPr>
          <a:xfrm>
            <a:off x="3429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33" name="QRIOS">
            <a:extLst>
              <a:ext uri="{FF2B5EF4-FFF2-40B4-BE49-F238E27FC236}">
                <a16:creationId xmlns:a16="http://schemas.microsoft.com/office/drawing/2014/main" id="{00000000-0008-0000-0400-0000A5030000}"/>
              </a:ext>
            </a:extLst>
          </xdr:cNvPr>
          <xdr:cNvSpPr/>
        </xdr:nvSpPr>
        <xdr:spPr>
          <a:xfrm>
            <a:off x="3556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34" name="QRIOS">
            <a:extLst>
              <a:ext uri="{FF2B5EF4-FFF2-40B4-BE49-F238E27FC236}">
                <a16:creationId xmlns:a16="http://schemas.microsoft.com/office/drawing/2014/main" id="{00000000-0008-0000-0400-0000A6030000}"/>
              </a:ext>
            </a:extLst>
          </xdr:cNvPr>
          <xdr:cNvSpPr/>
        </xdr:nvSpPr>
        <xdr:spPr>
          <a:xfrm>
            <a:off x="381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35" name="QRIOS">
            <a:extLst>
              <a:ext uri="{FF2B5EF4-FFF2-40B4-BE49-F238E27FC236}">
                <a16:creationId xmlns:a16="http://schemas.microsoft.com/office/drawing/2014/main" id="{00000000-0008-0000-0400-0000A7030000}"/>
              </a:ext>
            </a:extLst>
          </xdr:cNvPr>
          <xdr:cNvSpPr/>
        </xdr:nvSpPr>
        <xdr:spPr>
          <a:xfrm>
            <a:off x="393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36" name="QRIOS">
            <a:extLst>
              <a:ext uri="{FF2B5EF4-FFF2-40B4-BE49-F238E27FC236}">
                <a16:creationId xmlns:a16="http://schemas.microsoft.com/office/drawing/2014/main" id="{00000000-0008-0000-0400-0000A8030000}"/>
              </a:ext>
            </a:extLst>
          </xdr:cNvPr>
          <xdr:cNvSpPr/>
        </xdr:nvSpPr>
        <xdr:spPr>
          <a:xfrm>
            <a:off x="406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37" name="QRIOS">
            <a:extLst>
              <a:ext uri="{FF2B5EF4-FFF2-40B4-BE49-F238E27FC236}">
                <a16:creationId xmlns:a16="http://schemas.microsoft.com/office/drawing/2014/main" id="{00000000-0008-0000-0400-0000A9030000}"/>
              </a:ext>
            </a:extLst>
          </xdr:cNvPr>
          <xdr:cNvSpPr/>
        </xdr:nvSpPr>
        <xdr:spPr>
          <a:xfrm>
            <a:off x="419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38" name="QRIOS">
            <a:extLst>
              <a:ext uri="{FF2B5EF4-FFF2-40B4-BE49-F238E27FC236}">
                <a16:creationId xmlns:a16="http://schemas.microsoft.com/office/drawing/2014/main" id="{00000000-0008-0000-0400-0000AA030000}"/>
              </a:ext>
            </a:extLst>
          </xdr:cNvPr>
          <xdr:cNvSpPr/>
        </xdr:nvSpPr>
        <xdr:spPr>
          <a:xfrm>
            <a:off x="431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39" name="QRIOS">
            <a:extLst>
              <a:ext uri="{FF2B5EF4-FFF2-40B4-BE49-F238E27FC236}">
                <a16:creationId xmlns:a16="http://schemas.microsoft.com/office/drawing/2014/main" id="{00000000-0008-0000-0400-0000AB030000}"/>
              </a:ext>
            </a:extLst>
          </xdr:cNvPr>
          <xdr:cNvSpPr/>
        </xdr:nvSpPr>
        <xdr:spPr>
          <a:xfrm>
            <a:off x="4572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40" name="QRIOS">
            <a:extLst>
              <a:ext uri="{FF2B5EF4-FFF2-40B4-BE49-F238E27FC236}">
                <a16:creationId xmlns:a16="http://schemas.microsoft.com/office/drawing/2014/main" id="{00000000-0008-0000-0400-0000AC030000}"/>
              </a:ext>
            </a:extLst>
          </xdr:cNvPr>
          <xdr:cNvSpPr/>
        </xdr:nvSpPr>
        <xdr:spPr>
          <a:xfrm>
            <a:off x="4699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41" name="QRIOS">
            <a:extLst>
              <a:ext uri="{FF2B5EF4-FFF2-40B4-BE49-F238E27FC236}">
                <a16:creationId xmlns:a16="http://schemas.microsoft.com/office/drawing/2014/main" id="{00000000-0008-0000-0400-0000AD030000}"/>
              </a:ext>
            </a:extLst>
          </xdr:cNvPr>
          <xdr:cNvSpPr/>
        </xdr:nvSpPr>
        <xdr:spPr>
          <a:xfrm>
            <a:off x="4953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42" name="QRIOS">
            <a:extLst>
              <a:ext uri="{FF2B5EF4-FFF2-40B4-BE49-F238E27FC236}">
                <a16:creationId xmlns:a16="http://schemas.microsoft.com/office/drawing/2014/main" id="{00000000-0008-0000-0400-0000AE030000}"/>
              </a:ext>
            </a:extLst>
          </xdr:cNvPr>
          <xdr:cNvSpPr/>
        </xdr:nvSpPr>
        <xdr:spPr>
          <a:xfrm>
            <a:off x="508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43" name="QRIOS">
            <a:extLst>
              <a:ext uri="{FF2B5EF4-FFF2-40B4-BE49-F238E27FC236}">
                <a16:creationId xmlns:a16="http://schemas.microsoft.com/office/drawing/2014/main" id="{00000000-0008-0000-0400-0000AF030000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44" name="QRIOS">
            <a:extLst>
              <a:ext uri="{FF2B5EF4-FFF2-40B4-BE49-F238E27FC236}">
                <a16:creationId xmlns:a16="http://schemas.microsoft.com/office/drawing/2014/main" id="{00000000-0008-0000-0400-0000B0030000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45" name="QRIOS">
            <a:extLst>
              <a:ext uri="{FF2B5EF4-FFF2-40B4-BE49-F238E27FC236}">
                <a16:creationId xmlns:a16="http://schemas.microsoft.com/office/drawing/2014/main" id="{00000000-0008-0000-0400-0000B1030000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46" name="QRIOS">
            <a:extLst>
              <a:ext uri="{FF2B5EF4-FFF2-40B4-BE49-F238E27FC236}">
                <a16:creationId xmlns:a16="http://schemas.microsoft.com/office/drawing/2014/main" id="{00000000-0008-0000-0400-0000B2030000}"/>
              </a:ext>
            </a:extLst>
          </xdr:cNvPr>
          <xdr:cNvSpPr/>
        </xdr:nvSpPr>
        <xdr:spPr>
          <a:xfrm>
            <a:off x="1397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47" name="QRIOS">
            <a:extLst>
              <a:ext uri="{FF2B5EF4-FFF2-40B4-BE49-F238E27FC236}">
                <a16:creationId xmlns:a16="http://schemas.microsoft.com/office/drawing/2014/main" id="{00000000-0008-0000-0400-0000B3030000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48" name="QRIOS">
            <a:extLst>
              <a:ext uri="{FF2B5EF4-FFF2-40B4-BE49-F238E27FC236}">
                <a16:creationId xmlns:a16="http://schemas.microsoft.com/office/drawing/2014/main" id="{00000000-0008-0000-0400-0000B4030000}"/>
              </a:ext>
            </a:extLst>
          </xdr:cNvPr>
          <xdr:cNvSpPr/>
        </xdr:nvSpPr>
        <xdr:spPr>
          <a:xfrm>
            <a:off x="203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49" name="QRIOS">
            <a:extLst>
              <a:ext uri="{FF2B5EF4-FFF2-40B4-BE49-F238E27FC236}">
                <a16:creationId xmlns:a16="http://schemas.microsoft.com/office/drawing/2014/main" id="{00000000-0008-0000-0400-0000B5030000}"/>
              </a:ext>
            </a:extLst>
          </xdr:cNvPr>
          <xdr:cNvSpPr/>
        </xdr:nvSpPr>
        <xdr:spPr>
          <a:xfrm>
            <a:off x="215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50" name="QRIOS">
            <a:extLst>
              <a:ext uri="{FF2B5EF4-FFF2-40B4-BE49-F238E27FC236}">
                <a16:creationId xmlns:a16="http://schemas.microsoft.com/office/drawing/2014/main" id="{00000000-0008-0000-0400-0000B6030000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51" name="QRIOS">
            <a:extLst>
              <a:ext uri="{FF2B5EF4-FFF2-40B4-BE49-F238E27FC236}">
                <a16:creationId xmlns:a16="http://schemas.microsoft.com/office/drawing/2014/main" id="{00000000-0008-0000-0400-0000B7030000}"/>
              </a:ext>
            </a:extLst>
          </xdr:cNvPr>
          <xdr:cNvSpPr/>
        </xdr:nvSpPr>
        <xdr:spPr>
          <a:xfrm>
            <a:off x="2667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52" name="QRIOS">
            <a:extLst>
              <a:ext uri="{FF2B5EF4-FFF2-40B4-BE49-F238E27FC236}">
                <a16:creationId xmlns:a16="http://schemas.microsoft.com/office/drawing/2014/main" id="{00000000-0008-0000-0400-0000B8030000}"/>
              </a:ext>
            </a:extLst>
          </xdr:cNvPr>
          <xdr:cNvSpPr/>
        </xdr:nvSpPr>
        <xdr:spPr>
          <a:xfrm>
            <a:off x="317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53" name="QRIOS">
            <a:extLst>
              <a:ext uri="{FF2B5EF4-FFF2-40B4-BE49-F238E27FC236}">
                <a16:creationId xmlns:a16="http://schemas.microsoft.com/office/drawing/2014/main" id="{00000000-0008-0000-0400-0000B9030000}"/>
              </a:ext>
            </a:extLst>
          </xdr:cNvPr>
          <xdr:cNvSpPr/>
        </xdr:nvSpPr>
        <xdr:spPr>
          <a:xfrm>
            <a:off x="342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54" name="QRIOS">
            <a:extLst>
              <a:ext uri="{FF2B5EF4-FFF2-40B4-BE49-F238E27FC236}">
                <a16:creationId xmlns:a16="http://schemas.microsoft.com/office/drawing/2014/main" id="{00000000-0008-0000-0400-0000BA030000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55" name="QRIOS">
            <a:extLst>
              <a:ext uri="{FF2B5EF4-FFF2-40B4-BE49-F238E27FC236}">
                <a16:creationId xmlns:a16="http://schemas.microsoft.com/office/drawing/2014/main" id="{00000000-0008-0000-0400-0000BB030000}"/>
              </a:ext>
            </a:extLst>
          </xdr:cNvPr>
          <xdr:cNvSpPr/>
        </xdr:nvSpPr>
        <xdr:spPr>
          <a:xfrm>
            <a:off x="3810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56" name="QRIOS">
            <a:extLst>
              <a:ext uri="{FF2B5EF4-FFF2-40B4-BE49-F238E27FC236}">
                <a16:creationId xmlns:a16="http://schemas.microsoft.com/office/drawing/2014/main" id="{00000000-0008-0000-0400-0000BC030000}"/>
              </a:ext>
            </a:extLst>
          </xdr:cNvPr>
          <xdr:cNvSpPr/>
        </xdr:nvSpPr>
        <xdr:spPr>
          <a:xfrm>
            <a:off x="406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57" name="QRIOS">
            <a:extLst>
              <a:ext uri="{FF2B5EF4-FFF2-40B4-BE49-F238E27FC236}">
                <a16:creationId xmlns:a16="http://schemas.microsoft.com/office/drawing/2014/main" id="{00000000-0008-0000-0400-0000BD030000}"/>
              </a:ext>
            </a:extLst>
          </xdr:cNvPr>
          <xdr:cNvSpPr/>
        </xdr:nvSpPr>
        <xdr:spPr>
          <a:xfrm>
            <a:off x="431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58" name="QRIOS">
            <a:extLst>
              <a:ext uri="{FF2B5EF4-FFF2-40B4-BE49-F238E27FC236}">
                <a16:creationId xmlns:a16="http://schemas.microsoft.com/office/drawing/2014/main" id="{00000000-0008-0000-0400-0000BE030000}"/>
              </a:ext>
            </a:extLst>
          </xdr:cNvPr>
          <xdr:cNvSpPr/>
        </xdr:nvSpPr>
        <xdr:spPr>
          <a:xfrm>
            <a:off x="444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59" name="QRIOS">
            <a:extLst>
              <a:ext uri="{FF2B5EF4-FFF2-40B4-BE49-F238E27FC236}">
                <a16:creationId xmlns:a16="http://schemas.microsoft.com/office/drawing/2014/main" id="{00000000-0008-0000-0400-0000BF030000}"/>
              </a:ext>
            </a:extLst>
          </xdr:cNvPr>
          <xdr:cNvSpPr/>
        </xdr:nvSpPr>
        <xdr:spPr>
          <a:xfrm>
            <a:off x="495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60" name="QRIOS">
            <a:extLst>
              <a:ext uri="{FF2B5EF4-FFF2-40B4-BE49-F238E27FC236}">
                <a16:creationId xmlns:a16="http://schemas.microsoft.com/office/drawing/2014/main" id="{00000000-0008-0000-0400-0000C0030000}"/>
              </a:ext>
            </a:extLst>
          </xdr:cNvPr>
          <xdr:cNvSpPr/>
        </xdr:nvSpPr>
        <xdr:spPr>
          <a:xfrm>
            <a:off x="5080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61" name="QRIOS">
            <a:extLst>
              <a:ext uri="{FF2B5EF4-FFF2-40B4-BE49-F238E27FC236}">
                <a16:creationId xmlns:a16="http://schemas.microsoft.com/office/drawing/2014/main" id="{00000000-0008-0000-0400-0000C1030000}"/>
              </a:ext>
            </a:extLst>
          </xdr:cNvPr>
          <xdr:cNvSpPr/>
        </xdr:nvSpPr>
        <xdr:spPr>
          <a:xfrm>
            <a:off x="254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62" name="QRIOS">
            <a:extLst>
              <a:ext uri="{FF2B5EF4-FFF2-40B4-BE49-F238E27FC236}">
                <a16:creationId xmlns:a16="http://schemas.microsoft.com/office/drawing/2014/main" id="{00000000-0008-0000-0400-0000C2030000}"/>
              </a:ext>
            </a:extLst>
          </xdr:cNvPr>
          <xdr:cNvSpPr/>
        </xdr:nvSpPr>
        <xdr:spPr>
          <a:xfrm>
            <a:off x="38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63" name="QRIOS">
            <a:extLst>
              <a:ext uri="{FF2B5EF4-FFF2-40B4-BE49-F238E27FC236}">
                <a16:creationId xmlns:a16="http://schemas.microsoft.com/office/drawing/2014/main" id="{00000000-0008-0000-0400-0000C3030000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64" name="QRIOS">
            <a:extLst>
              <a:ext uri="{FF2B5EF4-FFF2-40B4-BE49-F238E27FC236}">
                <a16:creationId xmlns:a16="http://schemas.microsoft.com/office/drawing/2014/main" id="{00000000-0008-0000-0400-0000C4030000}"/>
              </a:ext>
            </a:extLst>
          </xdr:cNvPr>
          <xdr:cNvSpPr/>
        </xdr:nvSpPr>
        <xdr:spPr>
          <a:xfrm>
            <a:off x="889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65" name="QRIOS">
            <a:extLst>
              <a:ext uri="{FF2B5EF4-FFF2-40B4-BE49-F238E27FC236}">
                <a16:creationId xmlns:a16="http://schemas.microsoft.com/office/drawing/2014/main" id="{00000000-0008-0000-0400-0000C5030000}"/>
              </a:ext>
            </a:extLst>
          </xdr:cNvPr>
          <xdr:cNvSpPr/>
        </xdr:nvSpPr>
        <xdr:spPr>
          <a:xfrm>
            <a:off x="1143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66" name="QRIOS">
            <a:extLst>
              <a:ext uri="{FF2B5EF4-FFF2-40B4-BE49-F238E27FC236}">
                <a16:creationId xmlns:a16="http://schemas.microsoft.com/office/drawing/2014/main" id="{00000000-0008-0000-0400-0000C6030000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67" name="QRIOS">
            <a:extLst>
              <a:ext uri="{FF2B5EF4-FFF2-40B4-BE49-F238E27FC236}">
                <a16:creationId xmlns:a16="http://schemas.microsoft.com/office/drawing/2014/main" id="{00000000-0008-0000-0400-0000C7030000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68" name="QRIOS">
            <a:extLst>
              <a:ext uri="{FF2B5EF4-FFF2-40B4-BE49-F238E27FC236}">
                <a16:creationId xmlns:a16="http://schemas.microsoft.com/office/drawing/2014/main" id="{00000000-0008-0000-0400-0000C8030000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69" name="QRIOS">
            <a:extLst>
              <a:ext uri="{FF2B5EF4-FFF2-40B4-BE49-F238E27FC236}">
                <a16:creationId xmlns:a16="http://schemas.microsoft.com/office/drawing/2014/main" id="{00000000-0008-0000-0400-0000C9030000}"/>
              </a:ext>
            </a:extLst>
          </xdr:cNvPr>
          <xdr:cNvSpPr/>
        </xdr:nvSpPr>
        <xdr:spPr>
          <a:xfrm>
            <a:off x="2032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70" name="QRIOS">
            <a:extLst>
              <a:ext uri="{FF2B5EF4-FFF2-40B4-BE49-F238E27FC236}">
                <a16:creationId xmlns:a16="http://schemas.microsoft.com/office/drawing/2014/main" id="{00000000-0008-0000-0400-0000CA030000}"/>
              </a:ext>
            </a:extLst>
          </xdr:cNvPr>
          <xdr:cNvSpPr/>
        </xdr:nvSpPr>
        <xdr:spPr>
          <a:xfrm>
            <a:off x="2540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71" name="QRIOS">
            <a:extLst>
              <a:ext uri="{FF2B5EF4-FFF2-40B4-BE49-F238E27FC236}">
                <a16:creationId xmlns:a16="http://schemas.microsoft.com/office/drawing/2014/main" id="{00000000-0008-0000-0400-0000CB030000}"/>
              </a:ext>
            </a:extLst>
          </xdr:cNvPr>
          <xdr:cNvSpPr/>
        </xdr:nvSpPr>
        <xdr:spPr>
          <a:xfrm>
            <a:off x="3048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72" name="QRIOS">
            <a:extLst>
              <a:ext uri="{FF2B5EF4-FFF2-40B4-BE49-F238E27FC236}">
                <a16:creationId xmlns:a16="http://schemas.microsoft.com/office/drawing/2014/main" id="{00000000-0008-0000-0400-0000CC030000}"/>
              </a:ext>
            </a:extLst>
          </xdr:cNvPr>
          <xdr:cNvSpPr/>
        </xdr:nvSpPr>
        <xdr:spPr>
          <a:xfrm>
            <a:off x="3175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73" name="QRIOS">
            <a:extLst>
              <a:ext uri="{FF2B5EF4-FFF2-40B4-BE49-F238E27FC236}">
                <a16:creationId xmlns:a16="http://schemas.microsoft.com/office/drawing/2014/main" id="{00000000-0008-0000-0400-0000CD030000}"/>
              </a:ext>
            </a:extLst>
          </xdr:cNvPr>
          <xdr:cNvSpPr/>
        </xdr:nvSpPr>
        <xdr:spPr>
          <a:xfrm>
            <a:off x="3556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74" name="QRIOS">
            <a:extLst>
              <a:ext uri="{FF2B5EF4-FFF2-40B4-BE49-F238E27FC236}">
                <a16:creationId xmlns:a16="http://schemas.microsoft.com/office/drawing/2014/main" id="{00000000-0008-0000-0400-0000CE030000}"/>
              </a:ext>
            </a:extLst>
          </xdr:cNvPr>
          <xdr:cNvSpPr/>
        </xdr:nvSpPr>
        <xdr:spPr>
          <a:xfrm>
            <a:off x="4064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75" name="QRIOS">
            <a:extLst>
              <a:ext uri="{FF2B5EF4-FFF2-40B4-BE49-F238E27FC236}">
                <a16:creationId xmlns:a16="http://schemas.microsoft.com/office/drawing/2014/main" id="{00000000-0008-0000-0400-0000CF030000}"/>
              </a:ext>
            </a:extLst>
          </xdr:cNvPr>
          <xdr:cNvSpPr/>
        </xdr:nvSpPr>
        <xdr:spPr>
          <a:xfrm>
            <a:off x="4318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76" name="QRIOS">
            <a:extLst>
              <a:ext uri="{FF2B5EF4-FFF2-40B4-BE49-F238E27FC236}">
                <a16:creationId xmlns:a16="http://schemas.microsoft.com/office/drawing/2014/main" id="{00000000-0008-0000-0400-0000D0030000}"/>
              </a:ext>
            </a:extLst>
          </xdr:cNvPr>
          <xdr:cNvSpPr/>
        </xdr:nvSpPr>
        <xdr:spPr>
          <a:xfrm>
            <a:off x="4445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77" name="QRIOS">
            <a:extLst>
              <a:ext uri="{FF2B5EF4-FFF2-40B4-BE49-F238E27FC236}">
                <a16:creationId xmlns:a16="http://schemas.microsoft.com/office/drawing/2014/main" id="{00000000-0008-0000-0400-0000D1030000}"/>
              </a:ext>
            </a:extLst>
          </xdr:cNvPr>
          <xdr:cNvSpPr/>
        </xdr:nvSpPr>
        <xdr:spPr>
          <a:xfrm>
            <a:off x="4699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78" name="QRIOS">
            <a:extLst>
              <a:ext uri="{FF2B5EF4-FFF2-40B4-BE49-F238E27FC236}">
                <a16:creationId xmlns:a16="http://schemas.microsoft.com/office/drawing/2014/main" id="{00000000-0008-0000-0400-0000D2030000}"/>
              </a:ext>
            </a:extLst>
          </xdr:cNvPr>
          <xdr:cNvSpPr/>
        </xdr:nvSpPr>
        <xdr:spPr>
          <a:xfrm>
            <a:off x="4826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79" name="QRIOS">
            <a:extLst>
              <a:ext uri="{FF2B5EF4-FFF2-40B4-BE49-F238E27FC236}">
                <a16:creationId xmlns:a16="http://schemas.microsoft.com/office/drawing/2014/main" id="{00000000-0008-0000-0400-0000D3030000}"/>
              </a:ext>
            </a:extLst>
          </xdr:cNvPr>
          <xdr:cNvSpPr/>
        </xdr:nvSpPr>
        <xdr:spPr>
          <a:xfrm>
            <a:off x="5080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80" name="QRIOS">
            <a:extLst>
              <a:ext uri="{FF2B5EF4-FFF2-40B4-BE49-F238E27FC236}">
                <a16:creationId xmlns:a16="http://schemas.microsoft.com/office/drawing/2014/main" id="{00000000-0008-0000-0400-0000D4030000}"/>
              </a:ext>
            </a:extLst>
          </xdr:cNvPr>
          <xdr:cNvSpPr/>
        </xdr:nvSpPr>
        <xdr:spPr>
          <a:xfrm>
            <a:off x="25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81" name="QRIOS">
            <a:extLst>
              <a:ext uri="{FF2B5EF4-FFF2-40B4-BE49-F238E27FC236}">
                <a16:creationId xmlns:a16="http://schemas.microsoft.com/office/drawing/2014/main" id="{00000000-0008-0000-0400-0000D5030000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82" name="QRIOS">
            <a:extLst>
              <a:ext uri="{FF2B5EF4-FFF2-40B4-BE49-F238E27FC236}">
                <a16:creationId xmlns:a16="http://schemas.microsoft.com/office/drawing/2014/main" id="{00000000-0008-0000-0400-0000D6030000}"/>
              </a:ext>
            </a:extLst>
          </xdr:cNvPr>
          <xdr:cNvSpPr/>
        </xdr:nvSpPr>
        <xdr:spPr>
          <a:xfrm>
            <a:off x="1143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83" name="QRIOS">
            <a:extLst>
              <a:ext uri="{FF2B5EF4-FFF2-40B4-BE49-F238E27FC236}">
                <a16:creationId xmlns:a16="http://schemas.microsoft.com/office/drawing/2014/main" id="{00000000-0008-0000-0400-0000D7030000}"/>
              </a:ext>
            </a:extLst>
          </xdr:cNvPr>
          <xdr:cNvSpPr/>
        </xdr:nvSpPr>
        <xdr:spPr>
          <a:xfrm>
            <a:off x="1270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84" name="QRIOS">
            <a:extLst>
              <a:ext uri="{FF2B5EF4-FFF2-40B4-BE49-F238E27FC236}">
                <a16:creationId xmlns:a16="http://schemas.microsoft.com/office/drawing/2014/main" id="{00000000-0008-0000-0400-0000D8030000}"/>
              </a:ext>
            </a:extLst>
          </xdr:cNvPr>
          <xdr:cNvSpPr/>
        </xdr:nvSpPr>
        <xdr:spPr>
          <a:xfrm>
            <a:off x="139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85" name="QRIOS">
            <a:extLst>
              <a:ext uri="{FF2B5EF4-FFF2-40B4-BE49-F238E27FC236}">
                <a16:creationId xmlns:a16="http://schemas.microsoft.com/office/drawing/2014/main" id="{00000000-0008-0000-0400-0000D9030000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86" name="QRIOS">
            <a:extLst>
              <a:ext uri="{FF2B5EF4-FFF2-40B4-BE49-F238E27FC236}">
                <a16:creationId xmlns:a16="http://schemas.microsoft.com/office/drawing/2014/main" id="{00000000-0008-0000-0400-0000DA030000}"/>
              </a:ext>
            </a:extLst>
          </xdr:cNvPr>
          <xdr:cNvSpPr/>
        </xdr:nvSpPr>
        <xdr:spPr>
          <a:xfrm>
            <a:off x="2159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87" name="QRIOS">
            <a:extLst>
              <a:ext uri="{FF2B5EF4-FFF2-40B4-BE49-F238E27FC236}">
                <a16:creationId xmlns:a16="http://schemas.microsoft.com/office/drawing/2014/main" id="{00000000-0008-0000-0400-0000DB030000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88" name="QRIOS">
            <a:extLst>
              <a:ext uri="{FF2B5EF4-FFF2-40B4-BE49-F238E27FC236}">
                <a16:creationId xmlns:a16="http://schemas.microsoft.com/office/drawing/2014/main" id="{00000000-0008-0000-0400-0000DC030000}"/>
              </a:ext>
            </a:extLst>
          </xdr:cNvPr>
          <xdr:cNvSpPr/>
        </xdr:nvSpPr>
        <xdr:spPr>
          <a:xfrm>
            <a:off x="2413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89" name="QRIOS">
            <a:extLst>
              <a:ext uri="{FF2B5EF4-FFF2-40B4-BE49-F238E27FC236}">
                <a16:creationId xmlns:a16="http://schemas.microsoft.com/office/drawing/2014/main" id="{00000000-0008-0000-0400-0000DD030000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90" name="QRIOS">
            <a:extLst>
              <a:ext uri="{FF2B5EF4-FFF2-40B4-BE49-F238E27FC236}">
                <a16:creationId xmlns:a16="http://schemas.microsoft.com/office/drawing/2014/main" id="{00000000-0008-0000-0400-0000DE030000}"/>
              </a:ext>
            </a:extLst>
          </xdr:cNvPr>
          <xdr:cNvSpPr/>
        </xdr:nvSpPr>
        <xdr:spPr>
          <a:xfrm>
            <a:off x="2921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91" name="QRIOS">
            <a:extLst>
              <a:ext uri="{FF2B5EF4-FFF2-40B4-BE49-F238E27FC236}">
                <a16:creationId xmlns:a16="http://schemas.microsoft.com/office/drawing/2014/main" id="{00000000-0008-0000-0400-0000DF030000}"/>
              </a:ext>
            </a:extLst>
          </xdr:cNvPr>
          <xdr:cNvSpPr/>
        </xdr:nvSpPr>
        <xdr:spPr>
          <a:xfrm>
            <a:off x="3048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92" name="QRIOS">
            <a:extLst>
              <a:ext uri="{FF2B5EF4-FFF2-40B4-BE49-F238E27FC236}">
                <a16:creationId xmlns:a16="http://schemas.microsoft.com/office/drawing/2014/main" id="{00000000-0008-0000-0400-0000E0030000}"/>
              </a:ext>
            </a:extLst>
          </xdr:cNvPr>
          <xdr:cNvSpPr/>
        </xdr:nvSpPr>
        <xdr:spPr>
          <a:xfrm>
            <a:off x="3429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93" name="QRIOS">
            <a:extLst>
              <a:ext uri="{FF2B5EF4-FFF2-40B4-BE49-F238E27FC236}">
                <a16:creationId xmlns:a16="http://schemas.microsoft.com/office/drawing/2014/main" id="{00000000-0008-0000-0400-0000E1030000}"/>
              </a:ext>
            </a:extLst>
          </xdr:cNvPr>
          <xdr:cNvSpPr/>
        </xdr:nvSpPr>
        <xdr:spPr>
          <a:xfrm>
            <a:off x="3683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94" name="QRIOS">
            <a:extLst>
              <a:ext uri="{FF2B5EF4-FFF2-40B4-BE49-F238E27FC236}">
                <a16:creationId xmlns:a16="http://schemas.microsoft.com/office/drawing/2014/main" id="{00000000-0008-0000-0400-0000E2030000}"/>
              </a:ext>
            </a:extLst>
          </xdr:cNvPr>
          <xdr:cNvSpPr/>
        </xdr:nvSpPr>
        <xdr:spPr>
          <a:xfrm>
            <a:off x="393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95" name="QRIOS">
            <a:extLst>
              <a:ext uri="{FF2B5EF4-FFF2-40B4-BE49-F238E27FC236}">
                <a16:creationId xmlns:a16="http://schemas.microsoft.com/office/drawing/2014/main" id="{00000000-0008-0000-0400-0000E3030000}"/>
              </a:ext>
            </a:extLst>
          </xdr:cNvPr>
          <xdr:cNvSpPr/>
        </xdr:nvSpPr>
        <xdr:spPr>
          <a:xfrm>
            <a:off x="4191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96" name="QRIOS">
            <a:extLst>
              <a:ext uri="{FF2B5EF4-FFF2-40B4-BE49-F238E27FC236}">
                <a16:creationId xmlns:a16="http://schemas.microsoft.com/office/drawing/2014/main" id="{00000000-0008-0000-0400-0000E4030000}"/>
              </a:ext>
            </a:extLst>
          </xdr:cNvPr>
          <xdr:cNvSpPr/>
        </xdr:nvSpPr>
        <xdr:spPr>
          <a:xfrm>
            <a:off x="4318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97" name="QRIOS">
            <a:extLst>
              <a:ext uri="{FF2B5EF4-FFF2-40B4-BE49-F238E27FC236}">
                <a16:creationId xmlns:a16="http://schemas.microsoft.com/office/drawing/2014/main" id="{00000000-0008-0000-0400-0000E5030000}"/>
              </a:ext>
            </a:extLst>
          </xdr:cNvPr>
          <xdr:cNvSpPr/>
        </xdr:nvSpPr>
        <xdr:spPr>
          <a:xfrm>
            <a:off x="457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98" name="QRIOS">
            <a:extLst>
              <a:ext uri="{FF2B5EF4-FFF2-40B4-BE49-F238E27FC236}">
                <a16:creationId xmlns:a16="http://schemas.microsoft.com/office/drawing/2014/main" id="{00000000-0008-0000-0400-0000E6030000}"/>
              </a:ext>
            </a:extLst>
          </xdr:cNvPr>
          <xdr:cNvSpPr/>
        </xdr:nvSpPr>
        <xdr:spPr>
          <a:xfrm>
            <a:off x="4699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99" name="QRIOS">
            <a:extLst>
              <a:ext uri="{FF2B5EF4-FFF2-40B4-BE49-F238E27FC236}">
                <a16:creationId xmlns:a16="http://schemas.microsoft.com/office/drawing/2014/main" id="{00000000-0008-0000-0400-0000E7030000}"/>
              </a:ext>
            </a:extLst>
          </xdr:cNvPr>
          <xdr:cNvSpPr/>
        </xdr:nvSpPr>
        <xdr:spPr>
          <a:xfrm>
            <a:off x="5080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00" name="QRIOS">
            <a:extLst>
              <a:ext uri="{FF2B5EF4-FFF2-40B4-BE49-F238E27FC236}">
                <a16:creationId xmlns:a16="http://schemas.microsoft.com/office/drawing/2014/main" id="{00000000-0008-0000-0400-0000E8030000}"/>
              </a:ext>
            </a:extLst>
          </xdr:cNvPr>
          <xdr:cNvSpPr/>
        </xdr:nvSpPr>
        <xdr:spPr>
          <a:xfrm>
            <a:off x="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01" name="QRIOS">
            <a:extLst>
              <a:ext uri="{FF2B5EF4-FFF2-40B4-BE49-F238E27FC236}">
                <a16:creationId xmlns:a16="http://schemas.microsoft.com/office/drawing/2014/main" id="{00000000-0008-0000-0400-0000E9030000}"/>
              </a:ext>
            </a:extLst>
          </xdr:cNvPr>
          <xdr:cNvSpPr/>
        </xdr:nvSpPr>
        <xdr:spPr>
          <a:xfrm>
            <a:off x="381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02" name="QRIOS">
            <a:extLst>
              <a:ext uri="{FF2B5EF4-FFF2-40B4-BE49-F238E27FC236}">
                <a16:creationId xmlns:a16="http://schemas.microsoft.com/office/drawing/2014/main" id="{00000000-0008-0000-0400-0000EA030000}"/>
              </a:ext>
            </a:extLst>
          </xdr:cNvPr>
          <xdr:cNvSpPr/>
        </xdr:nvSpPr>
        <xdr:spPr>
          <a:xfrm>
            <a:off x="50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03" name="QRIOS">
            <a:extLst>
              <a:ext uri="{FF2B5EF4-FFF2-40B4-BE49-F238E27FC236}">
                <a16:creationId xmlns:a16="http://schemas.microsoft.com/office/drawing/2014/main" id="{00000000-0008-0000-0400-0000EB030000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04" name="QRIOS">
            <a:extLst>
              <a:ext uri="{FF2B5EF4-FFF2-40B4-BE49-F238E27FC236}">
                <a16:creationId xmlns:a16="http://schemas.microsoft.com/office/drawing/2014/main" id="{00000000-0008-0000-0400-0000EC030000}"/>
              </a:ext>
            </a:extLst>
          </xdr:cNvPr>
          <xdr:cNvSpPr/>
        </xdr:nvSpPr>
        <xdr:spPr>
          <a:xfrm>
            <a:off x="2032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05" name="QRIOS">
            <a:extLst>
              <a:ext uri="{FF2B5EF4-FFF2-40B4-BE49-F238E27FC236}">
                <a16:creationId xmlns:a16="http://schemas.microsoft.com/office/drawing/2014/main" id="{00000000-0008-0000-0400-0000ED030000}"/>
              </a:ext>
            </a:extLst>
          </xdr:cNvPr>
          <xdr:cNvSpPr/>
        </xdr:nvSpPr>
        <xdr:spPr>
          <a:xfrm>
            <a:off x="2413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06" name="QRIOS">
            <a:extLst>
              <a:ext uri="{FF2B5EF4-FFF2-40B4-BE49-F238E27FC236}">
                <a16:creationId xmlns:a16="http://schemas.microsoft.com/office/drawing/2014/main" id="{00000000-0008-0000-0400-0000EE030000}"/>
              </a:ext>
            </a:extLst>
          </xdr:cNvPr>
          <xdr:cNvSpPr/>
        </xdr:nvSpPr>
        <xdr:spPr>
          <a:xfrm>
            <a:off x="2794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07" name="QRIOS">
            <a:extLst>
              <a:ext uri="{FF2B5EF4-FFF2-40B4-BE49-F238E27FC236}">
                <a16:creationId xmlns:a16="http://schemas.microsoft.com/office/drawing/2014/main" id="{00000000-0008-0000-0400-0000EF030000}"/>
              </a:ext>
            </a:extLst>
          </xdr:cNvPr>
          <xdr:cNvSpPr/>
        </xdr:nvSpPr>
        <xdr:spPr>
          <a:xfrm>
            <a:off x="2921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08" name="QRIOS">
            <a:extLst>
              <a:ext uri="{FF2B5EF4-FFF2-40B4-BE49-F238E27FC236}">
                <a16:creationId xmlns:a16="http://schemas.microsoft.com/office/drawing/2014/main" id="{00000000-0008-0000-0400-0000F0030000}"/>
              </a:ext>
            </a:extLst>
          </xdr:cNvPr>
          <xdr:cNvSpPr/>
        </xdr:nvSpPr>
        <xdr:spPr>
          <a:xfrm>
            <a:off x="304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09" name="QRIOS">
            <a:extLst>
              <a:ext uri="{FF2B5EF4-FFF2-40B4-BE49-F238E27FC236}">
                <a16:creationId xmlns:a16="http://schemas.microsoft.com/office/drawing/2014/main" id="{00000000-0008-0000-0400-0000F1030000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10" name="QRIOS">
            <a:extLst>
              <a:ext uri="{FF2B5EF4-FFF2-40B4-BE49-F238E27FC236}">
                <a16:creationId xmlns:a16="http://schemas.microsoft.com/office/drawing/2014/main" id="{00000000-0008-0000-0400-0000F2030000}"/>
              </a:ext>
            </a:extLst>
          </xdr:cNvPr>
          <xdr:cNvSpPr/>
        </xdr:nvSpPr>
        <xdr:spPr>
          <a:xfrm>
            <a:off x="393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11" name="QRIOS">
            <a:extLst>
              <a:ext uri="{FF2B5EF4-FFF2-40B4-BE49-F238E27FC236}">
                <a16:creationId xmlns:a16="http://schemas.microsoft.com/office/drawing/2014/main" id="{00000000-0008-0000-0400-0000F3030000}"/>
              </a:ext>
            </a:extLst>
          </xdr:cNvPr>
          <xdr:cNvSpPr/>
        </xdr:nvSpPr>
        <xdr:spPr>
          <a:xfrm>
            <a:off x="4064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12" name="QRIOS">
            <a:extLst>
              <a:ext uri="{FF2B5EF4-FFF2-40B4-BE49-F238E27FC236}">
                <a16:creationId xmlns:a16="http://schemas.microsoft.com/office/drawing/2014/main" id="{00000000-0008-0000-0400-0000F4030000}"/>
              </a:ext>
            </a:extLst>
          </xdr:cNvPr>
          <xdr:cNvSpPr/>
        </xdr:nvSpPr>
        <xdr:spPr>
          <a:xfrm>
            <a:off x="4191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13" name="QRIOS">
            <a:extLst>
              <a:ext uri="{FF2B5EF4-FFF2-40B4-BE49-F238E27FC236}">
                <a16:creationId xmlns:a16="http://schemas.microsoft.com/office/drawing/2014/main" id="{00000000-0008-0000-0400-0000F5030000}"/>
              </a:ext>
            </a:extLst>
          </xdr:cNvPr>
          <xdr:cNvSpPr/>
        </xdr:nvSpPr>
        <xdr:spPr>
          <a:xfrm>
            <a:off x="431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14" name="QRIOS">
            <a:extLst>
              <a:ext uri="{FF2B5EF4-FFF2-40B4-BE49-F238E27FC236}">
                <a16:creationId xmlns:a16="http://schemas.microsoft.com/office/drawing/2014/main" id="{00000000-0008-0000-0400-0000F6030000}"/>
              </a:ext>
            </a:extLst>
          </xdr:cNvPr>
          <xdr:cNvSpPr/>
        </xdr:nvSpPr>
        <xdr:spPr>
          <a:xfrm>
            <a:off x="4699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15" name="QRIOS">
            <a:extLst>
              <a:ext uri="{FF2B5EF4-FFF2-40B4-BE49-F238E27FC236}">
                <a16:creationId xmlns:a16="http://schemas.microsoft.com/office/drawing/2014/main" id="{00000000-0008-0000-0400-0000F7030000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16" name="QRIOS">
            <a:extLst>
              <a:ext uri="{FF2B5EF4-FFF2-40B4-BE49-F238E27FC236}">
                <a16:creationId xmlns:a16="http://schemas.microsoft.com/office/drawing/2014/main" id="{00000000-0008-0000-0400-0000F8030000}"/>
              </a:ext>
            </a:extLst>
          </xdr:cNvPr>
          <xdr:cNvSpPr/>
        </xdr:nvSpPr>
        <xdr:spPr>
          <a:xfrm>
            <a:off x="127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17" name="QRIOS">
            <a:extLst>
              <a:ext uri="{FF2B5EF4-FFF2-40B4-BE49-F238E27FC236}">
                <a16:creationId xmlns:a16="http://schemas.microsoft.com/office/drawing/2014/main" id="{00000000-0008-0000-0400-0000F9030000}"/>
              </a:ext>
            </a:extLst>
          </xdr:cNvPr>
          <xdr:cNvSpPr/>
        </xdr:nvSpPr>
        <xdr:spPr>
          <a:xfrm>
            <a:off x="25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18" name="QRIOS">
            <a:extLst>
              <a:ext uri="{FF2B5EF4-FFF2-40B4-BE49-F238E27FC236}">
                <a16:creationId xmlns:a16="http://schemas.microsoft.com/office/drawing/2014/main" id="{00000000-0008-0000-0400-0000FA030000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19" name="QRIOS">
            <a:extLst>
              <a:ext uri="{FF2B5EF4-FFF2-40B4-BE49-F238E27FC236}">
                <a16:creationId xmlns:a16="http://schemas.microsoft.com/office/drawing/2014/main" id="{00000000-0008-0000-0400-0000FB030000}"/>
              </a:ext>
            </a:extLst>
          </xdr:cNvPr>
          <xdr:cNvSpPr/>
        </xdr:nvSpPr>
        <xdr:spPr>
          <a:xfrm>
            <a:off x="63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20" name="QRIOS">
            <a:extLst>
              <a:ext uri="{FF2B5EF4-FFF2-40B4-BE49-F238E27FC236}">
                <a16:creationId xmlns:a16="http://schemas.microsoft.com/office/drawing/2014/main" id="{00000000-0008-0000-0400-0000FC030000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21" name="QRIOS">
            <a:extLst>
              <a:ext uri="{FF2B5EF4-FFF2-40B4-BE49-F238E27FC236}">
                <a16:creationId xmlns:a16="http://schemas.microsoft.com/office/drawing/2014/main" id="{00000000-0008-0000-0400-0000FD030000}"/>
              </a:ext>
            </a:extLst>
          </xdr:cNvPr>
          <xdr:cNvSpPr/>
        </xdr:nvSpPr>
        <xdr:spPr>
          <a:xfrm>
            <a:off x="1016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22" name="QRIOS">
            <a:extLst>
              <a:ext uri="{FF2B5EF4-FFF2-40B4-BE49-F238E27FC236}">
                <a16:creationId xmlns:a16="http://schemas.microsoft.com/office/drawing/2014/main" id="{00000000-0008-0000-0400-0000FE030000}"/>
              </a:ext>
            </a:extLst>
          </xdr:cNvPr>
          <xdr:cNvSpPr/>
        </xdr:nvSpPr>
        <xdr:spPr>
          <a:xfrm>
            <a:off x="1270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23" name="QRIOS">
            <a:extLst>
              <a:ext uri="{FF2B5EF4-FFF2-40B4-BE49-F238E27FC236}">
                <a16:creationId xmlns:a16="http://schemas.microsoft.com/office/drawing/2014/main" id="{00000000-0008-0000-0400-0000FF030000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24" name="QRIOS">
            <a:extLst>
              <a:ext uri="{FF2B5EF4-FFF2-40B4-BE49-F238E27FC236}">
                <a16:creationId xmlns:a16="http://schemas.microsoft.com/office/drawing/2014/main" id="{00000000-0008-0000-0400-000000040000}"/>
              </a:ext>
            </a:extLst>
          </xdr:cNvPr>
          <xdr:cNvSpPr/>
        </xdr:nvSpPr>
        <xdr:spPr>
          <a:xfrm>
            <a:off x="152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25" name="QRIOS">
            <a:extLst>
              <a:ext uri="{FF2B5EF4-FFF2-40B4-BE49-F238E27FC236}">
                <a16:creationId xmlns:a16="http://schemas.microsoft.com/office/drawing/2014/main" id="{00000000-0008-0000-0400-000001040000}"/>
              </a:ext>
            </a:extLst>
          </xdr:cNvPr>
          <xdr:cNvSpPr/>
        </xdr:nvSpPr>
        <xdr:spPr>
          <a:xfrm>
            <a:off x="190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26" name="QRIOS">
            <a:extLst>
              <a:ext uri="{FF2B5EF4-FFF2-40B4-BE49-F238E27FC236}">
                <a16:creationId xmlns:a16="http://schemas.microsoft.com/office/drawing/2014/main" id="{00000000-0008-0000-0400-000002040000}"/>
              </a:ext>
            </a:extLst>
          </xdr:cNvPr>
          <xdr:cNvSpPr/>
        </xdr:nvSpPr>
        <xdr:spPr>
          <a:xfrm>
            <a:off x="203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27" name="QRIOS">
            <a:extLst>
              <a:ext uri="{FF2B5EF4-FFF2-40B4-BE49-F238E27FC236}">
                <a16:creationId xmlns:a16="http://schemas.microsoft.com/office/drawing/2014/main" id="{00000000-0008-0000-0400-000003040000}"/>
              </a:ext>
            </a:extLst>
          </xdr:cNvPr>
          <xdr:cNvSpPr/>
        </xdr:nvSpPr>
        <xdr:spPr>
          <a:xfrm>
            <a:off x="2413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28" name="QRIOS">
            <a:extLst>
              <a:ext uri="{FF2B5EF4-FFF2-40B4-BE49-F238E27FC236}">
                <a16:creationId xmlns:a16="http://schemas.microsoft.com/office/drawing/2014/main" id="{00000000-0008-0000-0400-000004040000}"/>
              </a:ext>
            </a:extLst>
          </xdr:cNvPr>
          <xdr:cNvSpPr/>
        </xdr:nvSpPr>
        <xdr:spPr>
          <a:xfrm>
            <a:off x="2540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29" name="QRIOS">
            <a:extLst>
              <a:ext uri="{FF2B5EF4-FFF2-40B4-BE49-F238E27FC236}">
                <a16:creationId xmlns:a16="http://schemas.microsoft.com/office/drawing/2014/main" id="{00000000-0008-0000-0400-000005040000}"/>
              </a:ext>
            </a:extLst>
          </xdr:cNvPr>
          <xdr:cNvSpPr/>
        </xdr:nvSpPr>
        <xdr:spPr>
          <a:xfrm>
            <a:off x="292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30" name="QRIOS">
            <a:extLst>
              <a:ext uri="{FF2B5EF4-FFF2-40B4-BE49-F238E27FC236}">
                <a16:creationId xmlns:a16="http://schemas.microsoft.com/office/drawing/2014/main" id="{00000000-0008-0000-0400-000006040000}"/>
              </a:ext>
            </a:extLst>
          </xdr:cNvPr>
          <xdr:cNvSpPr/>
        </xdr:nvSpPr>
        <xdr:spPr>
          <a:xfrm>
            <a:off x="304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31" name="QRIOS">
            <a:extLst>
              <a:ext uri="{FF2B5EF4-FFF2-40B4-BE49-F238E27FC236}">
                <a16:creationId xmlns:a16="http://schemas.microsoft.com/office/drawing/2014/main" id="{00000000-0008-0000-0400-000007040000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32" name="QRIOS">
            <a:extLst>
              <a:ext uri="{FF2B5EF4-FFF2-40B4-BE49-F238E27FC236}">
                <a16:creationId xmlns:a16="http://schemas.microsoft.com/office/drawing/2014/main" id="{00000000-0008-0000-0400-000008040000}"/>
              </a:ext>
            </a:extLst>
          </xdr:cNvPr>
          <xdr:cNvSpPr/>
        </xdr:nvSpPr>
        <xdr:spPr>
          <a:xfrm>
            <a:off x="431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33" name="QRIOS">
            <a:extLst>
              <a:ext uri="{FF2B5EF4-FFF2-40B4-BE49-F238E27FC236}">
                <a16:creationId xmlns:a16="http://schemas.microsoft.com/office/drawing/2014/main" id="{00000000-0008-0000-0400-000009040000}"/>
              </a:ext>
            </a:extLst>
          </xdr:cNvPr>
          <xdr:cNvSpPr/>
        </xdr:nvSpPr>
        <xdr:spPr>
          <a:xfrm>
            <a:off x="444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34" name="QRIOS">
            <a:extLst>
              <a:ext uri="{FF2B5EF4-FFF2-40B4-BE49-F238E27FC236}">
                <a16:creationId xmlns:a16="http://schemas.microsoft.com/office/drawing/2014/main" id="{00000000-0008-0000-0400-00000A040000}"/>
              </a:ext>
            </a:extLst>
          </xdr:cNvPr>
          <xdr:cNvSpPr/>
        </xdr:nvSpPr>
        <xdr:spPr>
          <a:xfrm>
            <a:off x="469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35" name="QRIOS">
            <a:extLst>
              <a:ext uri="{FF2B5EF4-FFF2-40B4-BE49-F238E27FC236}">
                <a16:creationId xmlns:a16="http://schemas.microsoft.com/office/drawing/2014/main" id="{00000000-0008-0000-0400-00000B040000}"/>
              </a:ext>
            </a:extLst>
          </xdr:cNvPr>
          <xdr:cNvSpPr/>
        </xdr:nvSpPr>
        <xdr:spPr>
          <a:xfrm>
            <a:off x="5080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36" name="QRIOS">
            <a:extLst>
              <a:ext uri="{FF2B5EF4-FFF2-40B4-BE49-F238E27FC236}">
                <a16:creationId xmlns:a16="http://schemas.microsoft.com/office/drawing/2014/main" id="{00000000-0008-0000-0400-00000C040000}"/>
              </a:ext>
            </a:extLst>
          </xdr:cNvPr>
          <xdr:cNvSpPr/>
        </xdr:nvSpPr>
        <xdr:spPr>
          <a:xfrm>
            <a:off x="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37" name="QRIOS">
            <a:extLst>
              <a:ext uri="{FF2B5EF4-FFF2-40B4-BE49-F238E27FC236}">
                <a16:creationId xmlns:a16="http://schemas.microsoft.com/office/drawing/2014/main" id="{00000000-0008-0000-0400-00000D040000}"/>
              </a:ext>
            </a:extLst>
          </xdr:cNvPr>
          <xdr:cNvSpPr/>
        </xdr:nvSpPr>
        <xdr:spPr>
          <a:xfrm>
            <a:off x="635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38" name="QRIOS">
            <a:extLst>
              <a:ext uri="{FF2B5EF4-FFF2-40B4-BE49-F238E27FC236}">
                <a16:creationId xmlns:a16="http://schemas.microsoft.com/office/drawing/2014/main" id="{00000000-0008-0000-0400-00000E040000}"/>
              </a:ext>
            </a:extLst>
          </xdr:cNvPr>
          <xdr:cNvSpPr/>
        </xdr:nvSpPr>
        <xdr:spPr>
          <a:xfrm>
            <a:off x="114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39" name="QRIOS">
            <a:extLst>
              <a:ext uri="{FF2B5EF4-FFF2-40B4-BE49-F238E27FC236}">
                <a16:creationId xmlns:a16="http://schemas.microsoft.com/office/drawing/2014/main" id="{00000000-0008-0000-0400-00000F040000}"/>
              </a:ext>
            </a:extLst>
          </xdr:cNvPr>
          <xdr:cNvSpPr/>
        </xdr:nvSpPr>
        <xdr:spPr>
          <a:xfrm>
            <a:off x="1270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40" name="QRIOS">
            <a:extLst>
              <a:ext uri="{FF2B5EF4-FFF2-40B4-BE49-F238E27FC236}">
                <a16:creationId xmlns:a16="http://schemas.microsoft.com/office/drawing/2014/main" id="{00000000-0008-0000-0400-000010040000}"/>
              </a:ext>
            </a:extLst>
          </xdr:cNvPr>
          <xdr:cNvSpPr/>
        </xdr:nvSpPr>
        <xdr:spPr>
          <a:xfrm>
            <a:off x="139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41" name="QRIOS">
            <a:extLst>
              <a:ext uri="{FF2B5EF4-FFF2-40B4-BE49-F238E27FC236}">
                <a16:creationId xmlns:a16="http://schemas.microsoft.com/office/drawing/2014/main" id="{00000000-0008-0000-0400-000011040000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42" name="QRIOS">
            <a:extLst>
              <a:ext uri="{FF2B5EF4-FFF2-40B4-BE49-F238E27FC236}">
                <a16:creationId xmlns:a16="http://schemas.microsoft.com/office/drawing/2014/main" id="{00000000-0008-0000-0400-000012040000}"/>
              </a:ext>
            </a:extLst>
          </xdr:cNvPr>
          <xdr:cNvSpPr/>
        </xdr:nvSpPr>
        <xdr:spPr>
          <a:xfrm>
            <a:off x="1905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43" name="QRIOS">
            <a:extLst>
              <a:ext uri="{FF2B5EF4-FFF2-40B4-BE49-F238E27FC236}">
                <a16:creationId xmlns:a16="http://schemas.microsoft.com/office/drawing/2014/main" id="{00000000-0008-0000-0400-000013040000}"/>
              </a:ext>
            </a:extLst>
          </xdr:cNvPr>
          <xdr:cNvSpPr/>
        </xdr:nvSpPr>
        <xdr:spPr>
          <a:xfrm>
            <a:off x="2032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44" name="QRIOS">
            <a:extLst>
              <a:ext uri="{FF2B5EF4-FFF2-40B4-BE49-F238E27FC236}">
                <a16:creationId xmlns:a16="http://schemas.microsoft.com/office/drawing/2014/main" id="{00000000-0008-0000-0400-000014040000}"/>
              </a:ext>
            </a:extLst>
          </xdr:cNvPr>
          <xdr:cNvSpPr/>
        </xdr:nvSpPr>
        <xdr:spPr>
          <a:xfrm>
            <a:off x="2159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45" name="QRIOS">
            <a:extLst>
              <a:ext uri="{FF2B5EF4-FFF2-40B4-BE49-F238E27FC236}">
                <a16:creationId xmlns:a16="http://schemas.microsoft.com/office/drawing/2014/main" id="{00000000-0008-0000-0400-000015040000}"/>
              </a:ext>
            </a:extLst>
          </xdr:cNvPr>
          <xdr:cNvSpPr/>
        </xdr:nvSpPr>
        <xdr:spPr>
          <a:xfrm>
            <a:off x="2286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46" name="QRIOS">
            <a:extLst>
              <a:ext uri="{FF2B5EF4-FFF2-40B4-BE49-F238E27FC236}">
                <a16:creationId xmlns:a16="http://schemas.microsoft.com/office/drawing/2014/main" id="{00000000-0008-0000-0400-000016040000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47" name="QRIOS">
            <a:extLst>
              <a:ext uri="{FF2B5EF4-FFF2-40B4-BE49-F238E27FC236}">
                <a16:creationId xmlns:a16="http://schemas.microsoft.com/office/drawing/2014/main" id="{00000000-0008-0000-0400-000017040000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48" name="QRIOS">
            <a:extLst>
              <a:ext uri="{FF2B5EF4-FFF2-40B4-BE49-F238E27FC236}">
                <a16:creationId xmlns:a16="http://schemas.microsoft.com/office/drawing/2014/main" id="{00000000-0008-0000-0400-000018040000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49" name="QRIOS">
            <a:extLst>
              <a:ext uri="{FF2B5EF4-FFF2-40B4-BE49-F238E27FC236}">
                <a16:creationId xmlns:a16="http://schemas.microsoft.com/office/drawing/2014/main" id="{00000000-0008-0000-0400-000019040000}"/>
              </a:ext>
            </a:extLst>
          </xdr:cNvPr>
          <xdr:cNvSpPr/>
        </xdr:nvSpPr>
        <xdr:spPr>
          <a:xfrm>
            <a:off x="292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50" name="QRIOS">
            <a:extLst>
              <a:ext uri="{FF2B5EF4-FFF2-40B4-BE49-F238E27FC236}">
                <a16:creationId xmlns:a16="http://schemas.microsoft.com/office/drawing/2014/main" id="{00000000-0008-0000-0400-00001A040000}"/>
              </a:ext>
            </a:extLst>
          </xdr:cNvPr>
          <xdr:cNvSpPr/>
        </xdr:nvSpPr>
        <xdr:spPr>
          <a:xfrm>
            <a:off x="3048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51" name="QRIOS">
            <a:extLst>
              <a:ext uri="{FF2B5EF4-FFF2-40B4-BE49-F238E27FC236}">
                <a16:creationId xmlns:a16="http://schemas.microsoft.com/office/drawing/2014/main" id="{00000000-0008-0000-0400-00001B040000}"/>
              </a:ext>
            </a:extLst>
          </xdr:cNvPr>
          <xdr:cNvSpPr/>
        </xdr:nvSpPr>
        <xdr:spPr>
          <a:xfrm>
            <a:off x="3429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52" name="QRIOS">
            <a:extLst>
              <a:ext uri="{FF2B5EF4-FFF2-40B4-BE49-F238E27FC236}">
                <a16:creationId xmlns:a16="http://schemas.microsoft.com/office/drawing/2014/main" id="{00000000-0008-0000-0400-00001C040000}"/>
              </a:ext>
            </a:extLst>
          </xdr:cNvPr>
          <xdr:cNvSpPr/>
        </xdr:nvSpPr>
        <xdr:spPr>
          <a:xfrm>
            <a:off x="3556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53" name="QRIOS">
            <a:extLst>
              <a:ext uri="{FF2B5EF4-FFF2-40B4-BE49-F238E27FC236}">
                <a16:creationId xmlns:a16="http://schemas.microsoft.com/office/drawing/2014/main" id="{00000000-0008-0000-0400-00001D040000}"/>
              </a:ext>
            </a:extLst>
          </xdr:cNvPr>
          <xdr:cNvSpPr/>
        </xdr:nvSpPr>
        <xdr:spPr>
          <a:xfrm>
            <a:off x="368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54" name="QRIOS">
            <a:extLst>
              <a:ext uri="{FF2B5EF4-FFF2-40B4-BE49-F238E27FC236}">
                <a16:creationId xmlns:a16="http://schemas.microsoft.com/office/drawing/2014/main" id="{00000000-0008-0000-0400-00001E040000}"/>
              </a:ext>
            </a:extLst>
          </xdr:cNvPr>
          <xdr:cNvSpPr/>
        </xdr:nvSpPr>
        <xdr:spPr>
          <a:xfrm>
            <a:off x="393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55" name="QRIOS">
            <a:extLst>
              <a:ext uri="{FF2B5EF4-FFF2-40B4-BE49-F238E27FC236}">
                <a16:creationId xmlns:a16="http://schemas.microsoft.com/office/drawing/2014/main" id="{00000000-0008-0000-0400-00001F040000}"/>
              </a:ext>
            </a:extLst>
          </xdr:cNvPr>
          <xdr:cNvSpPr/>
        </xdr:nvSpPr>
        <xdr:spPr>
          <a:xfrm>
            <a:off x="4318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56" name="QRIOS">
            <a:extLst>
              <a:ext uri="{FF2B5EF4-FFF2-40B4-BE49-F238E27FC236}">
                <a16:creationId xmlns:a16="http://schemas.microsoft.com/office/drawing/2014/main" id="{00000000-0008-0000-0400-000020040000}"/>
              </a:ext>
            </a:extLst>
          </xdr:cNvPr>
          <xdr:cNvSpPr/>
        </xdr:nvSpPr>
        <xdr:spPr>
          <a:xfrm>
            <a:off x="4445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57" name="QRIOS">
            <a:extLst>
              <a:ext uri="{FF2B5EF4-FFF2-40B4-BE49-F238E27FC236}">
                <a16:creationId xmlns:a16="http://schemas.microsoft.com/office/drawing/2014/main" id="{00000000-0008-0000-0400-000021040000}"/>
              </a:ext>
            </a:extLst>
          </xdr:cNvPr>
          <xdr:cNvSpPr/>
        </xdr:nvSpPr>
        <xdr:spPr>
          <a:xfrm>
            <a:off x="5080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58" name="QRIOS">
            <a:extLst>
              <a:ext uri="{FF2B5EF4-FFF2-40B4-BE49-F238E27FC236}">
                <a16:creationId xmlns:a16="http://schemas.microsoft.com/office/drawing/2014/main" id="{00000000-0008-0000-0400-000022040000}"/>
              </a:ext>
            </a:extLst>
          </xdr:cNvPr>
          <xdr:cNvSpPr/>
        </xdr:nvSpPr>
        <xdr:spPr>
          <a:xfrm>
            <a:off x="127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59" name="QRIOS">
            <a:extLst>
              <a:ext uri="{FF2B5EF4-FFF2-40B4-BE49-F238E27FC236}">
                <a16:creationId xmlns:a16="http://schemas.microsoft.com/office/drawing/2014/main" id="{00000000-0008-0000-0400-000023040000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60" name="QRIOS">
            <a:extLst>
              <a:ext uri="{FF2B5EF4-FFF2-40B4-BE49-F238E27FC236}">
                <a16:creationId xmlns:a16="http://schemas.microsoft.com/office/drawing/2014/main" id="{00000000-0008-0000-0400-000024040000}"/>
              </a:ext>
            </a:extLst>
          </xdr:cNvPr>
          <xdr:cNvSpPr/>
        </xdr:nvSpPr>
        <xdr:spPr>
          <a:xfrm>
            <a:off x="50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61" name="QRIOS">
            <a:extLst>
              <a:ext uri="{FF2B5EF4-FFF2-40B4-BE49-F238E27FC236}">
                <a16:creationId xmlns:a16="http://schemas.microsoft.com/office/drawing/2014/main" id="{00000000-0008-0000-0400-000025040000}"/>
              </a:ext>
            </a:extLst>
          </xdr:cNvPr>
          <xdr:cNvSpPr/>
        </xdr:nvSpPr>
        <xdr:spPr>
          <a:xfrm>
            <a:off x="635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62" name="QRIOS">
            <a:extLst>
              <a:ext uri="{FF2B5EF4-FFF2-40B4-BE49-F238E27FC236}">
                <a16:creationId xmlns:a16="http://schemas.microsoft.com/office/drawing/2014/main" id="{00000000-0008-0000-0400-00002604000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63" name="QRIOS">
            <a:extLst>
              <a:ext uri="{FF2B5EF4-FFF2-40B4-BE49-F238E27FC236}">
                <a16:creationId xmlns:a16="http://schemas.microsoft.com/office/drawing/2014/main" id="{00000000-0008-0000-0400-000027040000}"/>
              </a:ext>
            </a:extLst>
          </xdr:cNvPr>
          <xdr:cNvSpPr/>
        </xdr:nvSpPr>
        <xdr:spPr>
          <a:xfrm>
            <a:off x="88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64" name="QRIOS">
            <a:extLst>
              <a:ext uri="{FF2B5EF4-FFF2-40B4-BE49-F238E27FC236}">
                <a16:creationId xmlns:a16="http://schemas.microsoft.com/office/drawing/2014/main" id="{00000000-0008-0000-0400-000028040000}"/>
              </a:ext>
            </a:extLst>
          </xdr:cNvPr>
          <xdr:cNvSpPr/>
        </xdr:nvSpPr>
        <xdr:spPr>
          <a:xfrm>
            <a:off x="1270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65" name="QRIOS">
            <a:extLst>
              <a:ext uri="{FF2B5EF4-FFF2-40B4-BE49-F238E27FC236}">
                <a16:creationId xmlns:a16="http://schemas.microsoft.com/office/drawing/2014/main" id="{00000000-0008-0000-0400-000029040000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66" name="QRIOS">
            <a:extLst>
              <a:ext uri="{FF2B5EF4-FFF2-40B4-BE49-F238E27FC236}">
                <a16:creationId xmlns:a16="http://schemas.microsoft.com/office/drawing/2014/main" id="{00000000-0008-0000-0400-00002A040000}"/>
              </a:ext>
            </a:extLst>
          </xdr:cNvPr>
          <xdr:cNvSpPr/>
        </xdr:nvSpPr>
        <xdr:spPr>
          <a:xfrm>
            <a:off x="1524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67" name="QRIOS">
            <a:extLst>
              <a:ext uri="{FF2B5EF4-FFF2-40B4-BE49-F238E27FC236}">
                <a16:creationId xmlns:a16="http://schemas.microsoft.com/office/drawing/2014/main" id="{00000000-0008-0000-0400-00002B040000}"/>
              </a:ext>
            </a:extLst>
          </xdr:cNvPr>
          <xdr:cNvSpPr/>
        </xdr:nvSpPr>
        <xdr:spPr>
          <a:xfrm>
            <a:off x="1651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68" name="QRIOS">
            <a:extLst>
              <a:ext uri="{FF2B5EF4-FFF2-40B4-BE49-F238E27FC236}">
                <a16:creationId xmlns:a16="http://schemas.microsoft.com/office/drawing/2014/main" id="{00000000-0008-0000-0400-00002C040000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69" name="QRIOS">
            <a:extLst>
              <a:ext uri="{FF2B5EF4-FFF2-40B4-BE49-F238E27FC236}">
                <a16:creationId xmlns:a16="http://schemas.microsoft.com/office/drawing/2014/main" id="{00000000-0008-0000-0400-00002D040000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70" name="QRIOS">
            <a:extLst>
              <a:ext uri="{FF2B5EF4-FFF2-40B4-BE49-F238E27FC236}">
                <a16:creationId xmlns:a16="http://schemas.microsoft.com/office/drawing/2014/main" id="{00000000-0008-0000-0400-00002E040000}"/>
              </a:ext>
            </a:extLst>
          </xdr:cNvPr>
          <xdr:cNvSpPr/>
        </xdr:nvSpPr>
        <xdr:spPr>
          <a:xfrm>
            <a:off x="203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71" name="QRIOS">
            <a:extLst>
              <a:ext uri="{FF2B5EF4-FFF2-40B4-BE49-F238E27FC236}">
                <a16:creationId xmlns:a16="http://schemas.microsoft.com/office/drawing/2014/main" id="{00000000-0008-0000-0400-00002F040000}"/>
              </a:ext>
            </a:extLst>
          </xdr:cNvPr>
          <xdr:cNvSpPr/>
        </xdr:nvSpPr>
        <xdr:spPr>
          <a:xfrm>
            <a:off x="2413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72" name="QRIOS">
            <a:extLst>
              <a:ext uri="{FF2B5EF4-FFF2-40B4-BE49-F238E27FC236}">
                <a16:creationId xmlns:a16="http://schemas.microsoft.com/office/drawing/2014/main" id="{00000000-0008-0000-0400-000030040000}"/>
              </a:ext>
            </a:extLst>
          </xdr:cNvPr>
          <xdr:cNvSpPr/>
        </xdr:nvSpPr>
        <xdr:spPr>
          <a:xfrm>
            <a:off x="2794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73" name="QRIOS">
            <a:extLst>
              <a:ext uri="{FF2B5EF4-FFF2-40B4-BE49-F238E27FC236}">
                <a16:creationId xmlns:a16="http://schemas.microsoft.com/office/drawing/2014/main" id="{00000000-0008-0000-0400-000031040000}"/>
              </a:ext>
            </a:extLst>
          </xdr:cNvPr>
          <xdr:cNvSpPr/>
        </xdr:nvSpPr>
        <xdr:spPr>
          <a:xfrm>
            <a:off x="2921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74" name="QRIOS">
            <a:extLst>
              <a:ext uri="{FF2B5EF4-FFF2-40B4-BE49-F238E27FC236}">
                <a16:creationId xmlns:a16="http://schemas.microsoft.com/office/drawing/2014/main" id="{00000000-0008-0000-0400-000032040000}"/>
              </a:ext>
            </a:extLst>
          </xdr:cNvPr>
          <xdr:cNvSpPr/>
        </xdr:nvSpPr>
        <xdr:spPr>
          <a:xfrm>
            <a:off x="304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75" name="QRIOS">
            <a:extLst>
              <a:ext uri="{FF2B5EF4-FFF2-40B4-BE49-F238E27FC236}">
                <a16:creationId xmlns:a16="http://schemas.microsoft.com/office/drawing/2014/main" id="{00000000-0008-0000-0400-000033040000}"/>
              </a:ext>
            </a:extLst>
          </xdr:cNvPr>
          <xdr:cNvSpPr/>
        </xdr:nvSpPr>
        <xdr:spPr>
          <a:xfrm>
            <a:off x="3175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76" name="QRIOS">
            <a:extLst>
              <a:ext uri="{FF2B5EF4-FFF2-40B4-BE49-F238E27FC236}">
                <a16:creationId xmlns:a16="http://schemas.microsoft.com/office/drawing/2014/main" id="{00000000-0008-0000-0400-000034040000}"/>
              </a:ext>
            </a:extLst>
          </xdr:cNvPr>
          <xdr:cNvSpPr/>
        </xdr:nvSpPr>
        <xdr:spPr>
          <a:xfrm>
            <a:off x="342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77" name="QRIOS">
            <a:extLst>
              <a:ext uri="{FF2B5EF4-FFF2-40B4-BE49-F238E27FC236}">
                <a16:creationId xmlns:a16="http://schemas.microsoft.com/office/drawing/2014/main" id="{00000000-0008-0000-0400-000035040000}"/>
              </a:ext>
            </a:extLst>
          </xdr:cNvPr>
          <xdr:cNvSpPr/>
        </xdr:nvSpPr>
        <xdr:spPr>
          <a:xfrm>
            <a:off x="3937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78" name="QRIOS">
            <a:extLst>
              <a:ext uri="{FF2B5EF4-FFF2-40B4-BE49-F238E27FC236}">
                <a16:creationId xmlns:a16="http://schemas.microsoft.com/office/drawing/2014/main" id="{00000000-0008-0000-0400-000036040000}"/>
              </a:ext>
            </a:extLst>
          </xdr:cNvPr>
          <xdr:cNvSpPr/>
        </xdr:nvSpPr>
        <xdr:spPr>
          <a:xfrm>
            <a:off x="4191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79" name="QRIOS">
            <a:extLst>
              <a:ext uri="{FF2B5EF4-FFF2-40B4-BE49-F238E27FC236}">
                <a16:creationId xmlns:a16="http://schemas.microsoft.com/office/drawing/2014/main" id="{00000000-0008-0000-0400-000037040000}"/>
              </a:ext>
            </a:extLst>
          </xdr:cNvPr>
          <xdr:cNvSpPr/>
        </xdr:nvSpPr>
        <xdr:spPr>
          <a:xfrm>
            <a:off x="4445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80" name="QRIOS">
            <a:extLst>
              <a:ext uri="{FF2B5EF4-FFF2-40B4-BE49-F238E27FC236}">
                <a16:creationId xmlns:a16="http://schemas.microsoft.com/office/drawing/2014/main" id="{00000000-0008-0000-0400-000038040000}"/>
              </a:ext>
            </a:extLst>
          </xdr:cNvPr>
          <xdr:cNvSpPr/>
        </xdr:nvSpPr>
        <xdr:spPr>
          <a:xfrm>
            <a:off x="5080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81" name="QRIOS">
            <a:extLst>
              <a:ext uri="{FF2B5EF4-FFF2-40B4-BE49-F238E27FC236}">
                <a16:creationId xmlns:a16="http://schemas.microsoft.com/office/drawing/2014/main" id="{00000000-0008-0000-0400-000039040000}"/>
              </a:ext>
            </a:extLst>
          </xdr:cNvPr>
          <xdr:cNvSpPr/>
        </xdr:nvSpPr>
        <xdr:spPr>
          <a:xfrm>
            <a:off x="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82" name="QRIOS">
            <a:extLst>
              <a:ext uri="{FF2B5EF4-FFF2-40B4-BE49-F238E27FC236}">
                <a16:creationId xmlns:a16="http://schemas.microsoft.com/office/drawing/2014/main" id="{00000000-0008-0000-0400-00003A040000}"/>
              </a:ext>
            </a:extLst>
          </xdr:cNvPr>
          <xdr:cNvSpPr/>
        </xdr:nvSpPr>
        <xdr:spPr>
          <a:xfrm>
            <a:off x="12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83" name="QRIOS">
            <a:extLst>
              <a:ext uri="{FF2B5EF4-FFF2-40B4-BE49-F238E27FC236}">
                <a16:creationId xmlns:a16="http://schemas.microsoft.com/office/drawing/2014/main" id="{00000000-0008-0000-0400-00003B040000}"/>
              </a:ext>
            </a:extLst>
          </xdr:cNvPr>
          <xdr:cNvSpPr/>
        </xdr:nvSpPr>
        <xdr:spPr>
          <a:xfrm>
            <a:off x="889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84" name="QRIOS">
            <a:extLst>
              <a:ext uri="{FF2B5EF4-FFF2-40B4-BE49-F238E27FC236}">
                <a16:creationId xmlns:a16="http://schemas.microsoft.com/office/drawing/2014/main" id="{00000000-0008-0000-0400-00003C040000}"/>
              </a:ext>
            </a:extLst>
          </xdr:cNvPr>
          <xdr:cNvSpPr/>
        </xdr:nvSpPr>
        <xdr:spPr>
          <a:xfrm>
            <a:off x="127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85" name="QRIOS">
            <a:extLst>
              <a:ext uri="{FF2B5EF4-FFF2-40B4-BE49-F238E27FC236}">
                <a16:creationId xmlns:a16="http://schemas.microsoft.com/office/drawing/2014/main" id="{00000000-0008-0000-0400-00003D040000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86" name="QRIOS">
            <a:extLst>
              <a:ext uri="{FF2B5EF4-FFF2-40B4-BE49-F238E27FC236}">
                <a16:creationId xmlns:a16="http://schemas.microsoft.com/office/drawing/2014/main" id="{00000000-0008-0000-0400-00003E040000}"/>
              </a:ext>
            </a:extLst>
          </xdr:cNvPr>
          <xdr:cNvSpPr/>
        </xdr:nvSpPr>
        <xdr:spPr>
          <a:xfrm>
            <a:off x="152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87" name="QRIOS">
            <a:extLst>
              <a:ext uri="{FF2B5EF4-FFF2-40B4-BE49-F238E27FC236}">
                <a16:creationId xmlns:a16="http://schemas.microsoft.com/office/drawing/2014/main" id="{00000000-0008-0000-0400-00003F040000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88" name="QRIOS">
            <a:extLst>
              <a:ext uri="{FF2B5EF4-FFF2-40B4-BE49-F238E27FC236}">
                <a16:creationId xmlns:a16="http://schemas.microsoft.com/office/drawing/2014/main" id="{00000000-0008-0000-0400-000040040000}"/>
              </a:ext>
            </a:extLst>
          </xdr:cNvPr>
          <xdr:cNvSpPr/>
        </xdr:nvSpPr>
        <xdr:spPr>
          <a:xfrm>
            <a:off x="254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89" name="QRIOS">
            <a:extLst>
              <a:ext uri="{FF2B5EF4-FFF2-40B4-BE49-F238E27FC236}">
                <a16:creationId xmlns:a16="http://schemas.microsoft.com/office/drawing/2014/main" id="{00000000-0008-0000-0400-000041040000}"/>
              </a:ext>
            </a:extLst>
          </xdr:cNvPr>
          <xdr:cNvSpPr/>
        </xdr:nvSpPr>
        <xdr:spPr>
          <a:xfrm>
            <a:off x="2921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90" name="QRIOS">
            <a:extLst>
              <a:ext uri="{FF2B5EF4-FFF2-40B4-BE49-F238E27FC236}">
                <a16:creationId xmlns:a16="http://schemas.microsoft.com/office/drawing/2014/main" id="{00000000-0008-0000-0400-000042040000}"/>
              </a:ext>
            </a:extLst>
          </xdr:cNvPr>
          <xdr:cNvSpPr/>
        </xdr:nvSpPr>
        <xdr:spPr>
          <a:xfrm>
            <a:off x="3048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91" name="QRIOS">
            <a:extLst>
              <a:ext uri="{FF2B5EF4-FFF2-40B4-BE49-F238E27FC236}">
                <a16:creationId xmlns:a16="http://schemas.microsoft.com/office/drawing/2014/main" id="{00000000-0008-0000-0400-000043040000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92" name="QRIOS">
            <a:extLst>
              <a:ext uri="{FF2B5EF4-FFF2-40B4-BE49-F238E27FC236}">
                <a16:creationId xmlns:a16="http://schemas.microsoft.com/office/drawing/2014/main" id="{00000000-0008-0000-0400-000044040000}"/>
              </a:ext>
            </a:extLst>
          </xdr:cNvPr>
          <xdr:cNvSpPr/>
        </xdr:nvSpPr>
        <xdr:spPr>
          <a:xfrm>
            <a:off x="3556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93" name="QRIOS">
            <a:extLst>
              <a:ext uri="{FF2B5EF4-FFF2-40B4-BE49-F238E27FC236}">
                <a16:creationId xmlns:a16="http://schemas.microsoft.com/office/drawing/2014/main" id="{00000000-0008-0000-0400-000045040000}"/>
              </a:ext>
            </a:extLst>
          </xdr:cNvPr>
          <xdr:cNvSpPr/>
        </xdr:nvSpPr>
        <xdr:spPr>
          <a:xfrm>
            <a:off x="381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94" name="QRIOS">
            <a:extLst>
              <a:ext uri="{FF2B5EF4-FFF2-40B4-BE49-F238E27FC236}">
                <a16:creationId xmlns:a16="http://schemas.microsoft.com/office/drawing/2014/main" id="{00000000-0008-0000-0400-000046040000}"/>
              </a:ext>
            </a:extLst>
          </xdr:cNvPr>
          <xdr:cNvSpPr/>
        </xdr:nvSpPr>
        <xdr:spPr>
          <a:xfrm>
            <a:off x="393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95" name="QRIOS">
            <a:extLst>
              <a:ext uri="{FF2B5EF4-FFF2-40B4-BE49-F238E27FC236}">
                <a16:creationId xmlns:a16="http://schemas.microsoft.com/office/drawing/2014/main" id="{00000000-0008-0000-0400-000047040000}"/>
              </a:ext>
            </a:extLst>
          </xdr:cNvPr>
          <xdr:cNvSpPr/>
        </xdr:nvSpPr>
        <xdr:spPr>
          <a:xfrm>
            <a:off x="406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96" name="QRIOS">
            <a:extLst>
              <a:ext uri="{FF2B5EF4-FFF2-40B4-BE49-F238E27FC236}">
                <a16:creationId xmlns:a16="http://schemas.microsoft.com/office/drawing/2014/main" id="{00000000-0008-0000-0400-000048040000}"/>
              </a:ext>
            </a:extLst>
          </xdr:cNvPr>
          <xdr:cNvSpPr/>
        </xdr:nvSpPr>
        <xdr:spPr>
          <a:xfrm>
            <a:off x="4191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97" name="QRIOS">
            <a:extLst>
              <a:ext uri="{FF2B5EF4-FFF2-40B4-BE49-F238E27FC236}">
                <a16:creationId xmlns:a16="http://schemas.microsoft.com/office/drawing/2014/main" id="{00000000-0008-0000-0400-000049040000}"/>
              </a:ext>
            </a:extLst>
          </xdr:cNvPr>
          <xdr:cNvSpPr/>
        </xdr:nvSpPr>
        <xdr:spPr>
          <a:xfrm>
            <a:off x="4318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98" name="QRIOS">
            <a:extLst>
              <a:ext uri="{FF2B5EF4-FFF2-40B4-BE49-F238E27FC236}">
                <a16:creationId xmlns:a16="http://schemas.microsoft.com/office/drawing/2014/main" id="{00000000-0008-0000-0400-00004A040000}"/>
              </a:ext>
            </a:extLst>
          </xdr:cNvPr>
          <xdr:cNvSpPr/>
        </xdr:nvSpPr>
        <xdr:spPr>
          <a:xfrm>
            <a:off x="4445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99" name="QRIOS">
            <a:extLst>
              <a:ext uri="{FF2B5EF4-FFF2-40B4-BE49-F238E27FC236}">
                <a16:creationId xmlns:a16="http://schemas.microsoft.com/office/drawing/2014/main" id="{00000000-0008-0000-0400-00004B040000}"/>
              </a:ext>
            </a:extLst>
          </xdr:cNvPr>
          <xdr:cNvSpPr/>
        </xdr:nvSpPr>
        <xdr:spPr>
          <a:xfrm>
            <a:off x="508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00" name="QRIOS">
            <a:extLst>
              <a:ext uri="{FF2B5EF4-FFF2-40B4-BE49-F238E27FC236}">
                <a16:creationId xmlns:a16="http://schemas.microsoft.com/office/drawing/2014/main" id="{00000000-0008-0000-0400-00004C040000}"/>
              </a:ext>
            </a:extLst>
          </xdr:cNvPr>
          <xdr:cNvSpPr/>
        </xdr:nvSpPr>
        <xdr:spPr>
          <a:xfrm>
            <a:off x="127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01" name="QRIOS">
            <a:extLst>
              <a:ext uri="{FF2B5EF4-FFF2-40B4-BE49-F238E27FC236}">
                <a16:creationId xmlns:a16="http://schemas.microsoft.com/office/drawing/2014/main" id="{00000000-0008-0000-0400-00004D040000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02" name="QRIOS">
            <a:extLst>
              <a:ext uri="{FF2B5EF4-FFF2-40B4-BE49-F238E27FC236}">
                <a16:creationId xmlns:a16="http://schemas.microsoft.com/office/drawing/2014/main" id="{00000000-0008-0000-0400-00004E040000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03" name="QRIOS">
            <a:extLst>
              <a:ext uri="{FF2B5EF4-FFF2-40B4-BE49-F238E27FC236}">
                <a16:creationId xmlns:a16="http://schemas.microsoft.com/office/drawing/2014/main" id="{00000000-0008-0000-0400-00004F040000}"/>
              </a:ext>
            </a:extLst>
          </xdr:cNvPr>
          <xdr:cNvSpPr/>
        </xdr:nvSpPr>
        <xdr:spPr>
          <a:xfrm>
            <a:off x="889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04" name="QRIOS">
            <a:extLst>
              <a:ext uri="{FF2B5EF4-FFF2-40B4-BE49-F238E27FC236}">
                <a16:creationId xmlns:a16="http://schemas.microsoft.com/office/drawing/2014/main" id="{00000000-0008-0000-0400-000050040000}"/>
              </a:ext>
            </a:extLst>
          </xdr:cNvPr>
          <xdr:cNvSpPr/>
        </xdr:nvSpPr>
        <xdr:spPr>
          <a:xfrm>
            <a:off x="1016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05" name="QRIOS">
            <a:extLst>
              <a:ext uri="{FF2B5EF4-FFF2-40B4-BE49-F238E27FC236}">
                <a16:creationId xmlns:a16="http://schemas.microsoft.com/office/drawing/2014/main" id="{00000000-0008-0000-0400-000051040000}"/>
              </a:ext>
            </a:extLst>
          </xdr:cNvPr>
          <xdr:cNvSpPr/>
        </xdr:nvSpPr>
        <xdr:spPr>
          <a:xfrm>
            <a:off x="1143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06" name="QRIOS">
            <a:extLst>
              <a:ext uri="{FF2B5EF4-FFF2-40B4-BE49-F238E27FC236}">
                <a16:creationId xmlns:a16="http://schemas.microsoft.com/office/drawing/2014/main" id="{00000000-0008-0000-0400-000052040000}"/>
              </a:ext>
            </a:extLst>
          </xdr:cNvPr>
          <xdr:cNvSpPr/>
        </xdr:nvSpPr>
        <xdr:spPr>
          <a:xfrm>
            <a:off x="152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07" name="QRIOS">
            <a:extLst>
              <a:ext uri="{FF2B5EF4-FFF2-40B4-BE49-F238E27FC236}">
                <a16:creationId xmlns:a16="http://schemas.microsoft.com/office/drawing/2014/main" id="{00000000-0008-0000-0400-000053040000}"/>
              </a:ext>
            </a:extLst>
          </xdr:cNvPr>
          <xdr:cNvSpPr/>
        </xdr:nvSpPr>
        <xdr:spPr>
          <a:xfrm>
            <a:off x="190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08" name="QRIOS">
            <a:extLst>
              <a:ext uri="{FF2B5EF4-FFF2-40B4-BE49-F238E27FC236}">
                <a16:creationId xmlns:a16="http://schemas.microsoft.com/office/drawing/2014/main" id="{00000000-0008-0000-0400-000054040000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09" name="QRIOS">
            <a:extLst>
              <a:ext uri="{FF2B5EF4-FFF2-40B4-BE49-F238E27FC236}">
                <a16:creationId xmlns:a16="http://schemas.microsoft.com/office/drawing/2014/main" id="{00000000-0008-0000-0400-000055040000}"/>
              </a:ext>
            </a:extLst>
          </xdr:cNvPr>
          <xdr:cNvSpPr/>
        </xdr:nvSpPr>
        <xdr:spPr>
          <a:xfrm>
            <a:off x="2540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10" name="QRIOS">
            <a:extLst>
              <a:ext uri="{FF2B5EF4-FFF2-40B4-BE49-F238E27FC236}">
                <a16:creationId xmlns:a16="http://schemas.microsoft.com/office/drawing/2014/main" id="{00000000-0008-0000-0400-000056040000}"/>
              </a:ext>
            </a:extLst>
          </xdr:cNvPr>
          <xdr:cNvSpPr/>
        </xdr:nvSpPr>
        <xdr:spPr>
          <a:xfrm>
            <a:off x="2667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11" name="QRIOS">
            <a:extLst>
              <a:ext uri="{FF2B5EF4-FFF2-40B4-BE49-F238E27FC236}">
                <a16:creationId xmlns:a16="http://schemas.microsoft.com/office/drawing/2014/main" id="{00000000-0008-0000-0400-000057040000}"/>
              </a:ext>
            </a:extLst>
          </xdr:cNvPr>
          <xdr:cNvSpPr/>
        </xdr:nvSpPr>
        <xdr:spPr>
          <a:xfrm>
            <a:off x="3048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12" name="QRIOS">
            <a:extLst>
              <a:ext uri="{FF2B5EF4-FFF2-40B4-BE49-F238E27FC236}">
                <a16:creationId xmlns:a16="http://schemas.microsoft.com/office/drawing/2014/main" id="{00000000-0008-0000-0400-000058040000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13" name="QRIOS">
            <a:extLst>
              <a:ext uri="{FF2B5EF4-FFF2-40B4-BE49-F238E27FC236}">
                <a16:creationId xmlns:a16="http://schemas.microsoft.com/office/drawing/2014/main" id="{00000000-0008-0000-0400-000059040000}"/>
              </a:ext>
            </a:extLst>
          </xdr:cNvPr>
          <xdr:cNvSpPr/>
        </xdr:nvSpPr>
        <xdr:spPr>
          <a:xfrm>
            <a:off x="3556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14" name="QRIOS">
            <a:extLst>
              <a:ext uri="{FF2B5EF4-FFF2-40B4-BE49-F238E27FC236}">
                <a16:creationId xmlns:a16="http://schemas.microsoft.com/office/drawing/2014/main" id="{00000000-0008-0000-0400-00005A040000}"/>
              </a:ext>
            </a:extLst>
          </xdr:cNvPr>
          <xdr:cNvSpPr/>
        </xdr:nvSpPr>
        <xdr:spPr>
          <a:xfrm>
            <a:off x="3683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15" name="QRIOS">
            <a:extLst>
              <a:ext uri="{FF2B5EF4-FFF2-40B4-BE49-F238E27FC236}">
                <a16:creationId xmlns:a16="http://schemas.microsoft.com/office/drawing/2014/main" id="{00000000-0008-0000-0400-00005B040000}"/>
              </a:ext>
            </a:extLst>
          </xdr:cNvPr>
          <xdr:cNvSpPr/>
        </xdr:nvSpPr>
        <xdr:spPr>
          <a:xfrm>
            <a:off x="406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16" name="QRIOS">
            <a:extLst>
              <a:ext uri="{FF2B5EF4-FFF2-40B4-BE49-F238E27FC236}">
                <a16:creationId xmlns:a16="http://schemas.microsoft.com/office/drawing/2014/main" id="{00000000-0008-0000-0400-00005C040000}"/>
              </a:ext>
            </a:extLst>
          </xdr:cNvPr>
          <xdr:cNvSpPr/>
        </xdr:nvSpPr>
        <xdr:spPr>
          <a:xfrm>
            <a:off x="4318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17" name="QRIOS">
            <a:extLst>
              <a:ext uri="{FF2B5EF4-FFF2-40B4-BE49-F238E27FC236}">
                <a16:creationId xmlns:a16="http://schemas.microsoft.com/office/drawing/2014/main" id="{00000000-0008-0000-0400-00005D040000}"/>
              </a:ext>
            </a:extLst>
          </xdr:cNvPr>
          <xdr:cNvSpPr/>
        </xdr:nvSpPr>
        <xdr:spPr>
          <a:xfrm>
            <a:off x="444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18" name="QRIOS">
            <a:extLst>
              <a:ext uri="{FF2B5EF4-FFF2-40B4-BE49-F238E27FC236}">
                <a16:creationId xmlns:a16="http://schemas.microsoft.com/office/drawing/2014/main" id="{00000000-0008-0000-0400-00005E040000}"/>
              </a:ext>
            </a:extLst>
          </xdr:cNvPr>
          <xdr:cNvSpPr/>
        </xdr:nvSpPr>
        <xdr:spPr>
          <a:xfrm>
            <a:off x="4699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19" name="QRIOS">
            <a:extLst>
              <a:ext uri="{FF2B5EF4-FFF2-40B4-BE49-F238E27FC236}">
                <a16:creationId xmlns:a16="http://schemas.microsoft.com/office/drawing/2014/main" id="{00000000-0008-0000-0400-00005F040000}"/>
              </a:ext>
            </a:extLst>
          </xdr:cNvPr>
          <xdr:cNvSpPr/>
        </xdr:nvSpPr>
        <xdr:spPr>
          <a:xfrm>
            <a:off x="4953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20" name="QRIOS">
            <a:extLst>
              <a:ext uri="{FF2B5EF4-FFF2-40B4-BE49-F238E27FC236}">
                <a16:creationId xmlns:a16="http://schemas.microsoft.com/office/drawing/2014/main" id="{00000000-0008-0000-0400-000060040000}"/>
              </a:ext>
            </a:extLst>
          </xdr:cNvPr>
          <xdr:cNvSpPr/>
        </xdr:nvSpPr>
        <xdr:spPr>
          <a:xfrm>
            <a:off x="5080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21" name="QRIOS">
            <a:extLst>
              <a:ext uri="{FF2B5EF4-FFF2-40B4-BE49-F238E27FC236}">
                <a16:creationId xmlns:a16="http://schemas.microsoft.com/office/drawing/2014/main" id="{00000000-0008-0000-0400-000061040000}"/>
              </a:ext>
            </a:extLst>
          </xdr:cNvPr>
          <xdr:cNvSpPr/>
        </xdr:nvSpPr>
        <xdr:spPr>
          <a:xfrm>
            <a:off x="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22" name="QRIOS">
            <a:extLst>
              <a:ext uri="{FF2B5EF4-FFF2-40B4-BE49-F238E27FC236}">
                <a16:creationId xmlns:a16="http://schemas.microsoft.com/office/drawing/2014/main" id="{00000000-0008-0000-0400-000062040000}"/>
              </a:ext>
            </a:extLst>
          </xdr:cNvPr>
          <xdr:cNvSpPr/>
        </xdr:nvSpPr>
        <xdr:spPr>
          <a:xfrm>
            <a:off x="25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23" name="QRIOS">
            <a:extLst>
              <a:ext uri="{FF2B5EF4-FFF2-40B4-BE49-F238E27FC236}">
                <a16:creationId xmlns:a16="http://schemas.microsoft.com/office/drawing/2014/main" id="{00000000-0008-0000-0400-000063040000}"/>
              </a:ext>
            </a:extLst>
          </xdr:cNvPr>
          <xdr:cNvSpPr/>
        </xdr:nvSpPr>
        <xdr:spPr>
          <a:xfrm>
            <a:off x="635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24" name="QRIOS">
            <a:extLst>
              <a:ext uri="{FF2B5EF4-FFF2-40B4-BE49-F238E27FC236}">
                <a16:creationId xmlns:a16="http://schemas.microsoft.com/office/drawing/2014/main" id="{00000000-0008-0000-0400-000064040000}"/>
              </a:ext>
            </a:extLst>
          </xdr:cNvPr>
          <xdr:cNvSpPr/>
        </xdr:nvSpPr>
        <xdr:spPr>
          <a:xfrm>
            <a:off x="889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25" name="QRIOS">
            <a:extLst>
              <a:ext uri="{FF2B5EF4-FFF2-40B4-BE49-F238E27FC236}">
                <a16:creationId xmlns:a16="http://schemas.microsoft.com/office/drawing/2014/main" id="{00000000-0008-0000-0400-000065040000}"/>
              </a:ext>
            </a:extLst>
          </xdr:cNvPr>
          <xdr:cNvSpPr/>
        </xdr:nvSpPr>
        <xdr:spPr>
          <a:xfrm>
            <a:off x="1016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26" name="QRIOS">
            <a:extLst>
              <a:ext uri="{FF2B5EF4-FFF2-40B4-BE49-F238E27FC236}">
                <a16:creationId xmlns:a16="http://schemas.microsoft.com/office/drawing/2014/main" id="{00000000-0008-0000-0400-000066040000}"/>
              </a:ext>
            </a:extLst>
          </xdr:cNvPr>
          <xdr:cNvSpPr/>
        </xdr:nvSpPr>
        <xdr:spPr>
          <a:xfrm>
            <a:off x="152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27" name="QRIOS">
            <a:extLst>
              <a:ext uri="{FF2B5EF4-FFF2-40B4-BE49-F238E27FC236}">
                <a16:creationId xmlns:a16="http://schemas.microsoft.com/office/drawing/2014/main" id="{00000000-0008-0000-0400-000067040000}"/>
              </a:ext>
            </a:extLst>
          </xdr:cNvPr>
          <xdr:cNvSpPr/>
        </xdr:nvSpPr>
        <xdr:spPr>
          <a:xfrm>
            <a:off x="2032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28" name="QRIOS">
            <a:extLst>
              <a:ext uri="{FF2B5EF4-FFF2-40B4-BE49-F238E27FC236}">
                <a16:creationId xmlns:a16="http://schemas.microsoft.com/office/drawing/2014/main" id="{00000000-0008-0000-0400-000068040000}"/>
              </a:ext>
            </a:extLst>
          </xdr:cNvPr>
          <xdr:cNvSpPr/>
        </xdr:nvSpPr>
        <xdr:spPr>
          <a:xfrm>
            <a:off x="2540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29" name="QRIOS">
            <a:extLst>
              <a:ext uri="{FF2B5EF4-FFF2-40B4-BE49-F238E27FC236}">
                <a16:creationId xmlns:a16="http://schemas.microsoft.com/office/drawing/2014/main" id="{00000000-0008-0000-0400-000069040000}"/>
              </a:ext>
            </a:extLst>
          </xdr:cNvPr>
          <xdr:cNvSpPr/>
        </xdr:nvSpPr>
        <xdr:spPr>
          <a:xfrm>
            <a:off x="279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30" name="QRIOS">
            <a:extLst>
              <a:ext uri="{FF2B5EF4-FFF2-40B4-BE49-F238E27FC236}">
                <a16:creationId xmlns:a16="http://schemas.microsoft.com/office/drawing/2014/main" id="{00000000-0008-0000-0400-00006A040000}"/>
              </a:ext>
            </a:extLst>
          </xdr:cNvPr>
          <xdr:cNvSpPr/>
        </xdr:nvSpPr>
        <xdr:spPr>
          <a:xfrm>
            <a:off x="3048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31" name="QRIOS">
            <a:extLst>
              <a:ext uri="{FF2B5EF4-FFF2-40B4-BE49-F238E27FC236}">
                <a16:creationId xmlns:a16="http://schemas.microsoft.com/office/drawing/2014/main" id="{00000000-0008-0000-0400-00006B040000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32" name="QRIOS">
            <a:extLst>
              <a:ext uri="{FF2B5EF4-FFF2-40B4-BE49-F238E27FC236}">
                <a16:creationId xmlns:a16="http://schemas.microsoft.com/office/drawing/2014/main" id="{00000000-0008-0000-0400-00006C040000}"/>
              </a:ext>
            </a:extLst>
          </xdr:cNvPr>
          <xdr:cNvSpPr/>
        </xdr:nvSpPr>
        <xdr:spPr>
          <a:xfrm>
            <a:off x="3556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33" name="QRIOS">
            <a:extLst>
              <a:ext uri="{FF2B5EF4-FFF2-40B4-BE49-F238E27FC236}">
                <a16:creationId xmlns:a16="http://schemas.microsoft.com/office/drawing/2014/main" id="{00000000-0008-0000-0400-00006D040000}"/>
              </a:ext>
            </a:extLst>
          </xdr:cNvPr>
          <xdr:cNvSpPr/>
        </xdr:nvSpPr>
        <xdr:spPr>
          <a:xfrm>
            <a:off x="368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34" name="QRIOS">
            <a:extLst>
              <a:ext uri="{FF2B5EF4-FFF2-40B4-BE49-F238E27FC236}">
                <a16:creationId xmlns:a16="http://schemas.microsoft.com/office/drawing/2014/main" id="{00000000-0008-0000-0400-00006E040000}"/>
              </a:ext>
            </a:extLst>
          </xdr:cNvPr>
          <xdr:cNvSpPr/>
        </xdr:nvSpPr>
        <xdr:spPr>
          <a:xfrm>
            <a:off x="393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35" name="QRIOS">
            <a:extLst>
              <a:ext uri="{FF2B5EF4-FFF2-40B4-BE49-F238E27FC236}">
                <a16:creationId xmlns:a16="http://schemas.microsoft.com/office/drawing/2014/main" id="{00000000-0008-0000-0400-00006F040000}"/>
              </a:ext>
            </a:extLst>
          </xdr:cNvPr>
          <xdr:cNvSpPr/>
        </xdr:nvSpPr>
        <xdr:spPr>
          <a:xfrm>
            <a:off x="4318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36" name="QRIOS">
            <a:extLst>
              <a:ext uri="{FF2B5EF4-FFF2-40B4-BE49-F238E27FC236}">
                <a16:creationId xmlns:a16="http://schemas.microsoft.com/office/drawing/2014/main" id="{00000000-0008-0000-0400-000070040000}"/>
              </a:ext>
            </a:extLst>
          </xdr:cNvPr>
          <xdr:cNvSpPr/>
        </xdr:nvSpPr>
        <xdr:spPr>
          <a:xfrm>
            <a:off x="4445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37" name="QRIOS">
            <a:extLst>
              <a:ext uri="{FF2B5EF4-FFF2-40B4-BE49-F238E27FC236}">
                <a16:creationId xmlns:a16="http://schemas.microsoft.com/office/drawing/2014/main" id="{00000000-0008-0000-0400-000071040000}"/>
              </a:ext>
            </a:extLst>
          </xdr:cNvPr>
          <xdr:cNvSpPr/>
        </xdr:nvSpPr>
        <xdr:spPr>
          <a:xfrm>
            <a:off x="495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38" name="QRIOS">
            <a:extLst>
              <a:ext uri="{FF2B5EF4-FFF2-40B4-BE49-F238E27FC236}">
                <a16:creationId xmlns:a16="http://schemas.microsoft.com/office/drawing/2014/main" id="{00000000-0008-0000-0400-000072040000}"/>
              </a:ext>
            </a:extLst>
          </xdr:cNvPr>
          <xdr:cNvSpPr/>
        </xdr:nvSpPr>
        <xdr:spPr>
          <a:xfrm>
            <a:off x="5080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39" name="QRIOS">
            <a:extLst>
              <a:ext uri="{FF2B5EF4-FFF2-40B4-BE49-F238E27FC236}">
                <a16:creationId xmlns:a16="http://schemas.microsoft.com/office/drawing/2014/main" id="{00000000-0008-0000-0400-000073040000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40" name="QRIOS">
            <a:extLst>
              <a:ext uri="{FF2B5EF4-FFF2-40B4-BE49-F238E27FC236}">
                <a16:creationId xmlns:a16="http://schemas.microsoft.com/office/drawing/2014/main" id="{00000000-0008-0000-0400-000074040000}"/>
              </a:ext>
            </a:extLst>
          </xdr:cNvPr>
          <xdr:cNvSpPr/>
        </xdr:nvSpPr>
        <xdr:spPr>
          <a:xfrm>
            <a:off x="635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41" name="QRIOS">
            <a:extLst>
              <a:ext uri="{FF2B5EF4-FFF2-40B4-BE49-F238E27FC236}">
                <a16:creationId xmlns:a16="http://schemas.microsoft.com/office/drawing/2014/main" id="{00000000-0008-0000-0400-000075040000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42" name="QRIOS">
            <a:extLst>
              <a:ext uri="{FF2B5EF4-FFF2-40B4-BE49-F238E27FC236}">
                <a16:creationId xmlns:a16="http://schemas.microsoft.com/office/drawing/2014/main" id="{00000000-0008-0000-0400-000076040000}"/>
              </a:ext>
            </a:extLst>
          </xdr:cNvPr>
          <xdr:cNvSpPr/>
        </xdr:nvSpPr>
        <xdr:spPr>
          <a:xfrm>
            <a:off x="889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43" name="QRIOS">
            <a:extLst>
              <a:ext uri="{FF2B5EF4-FFF2-40B4-BE49-F238E27FC236}">
                <a16:creationId xmlns:a16="http://schemas.microsoft.com/office/drawing/2014/main" id="{00000000-0008-0000-0400-000077040000}"/>
              </a:ext>
            </a:extLst>
          </xdr:cNvPr>
          <xdr:cNvSpPr/>
        </xdr:nvSpPr>
        <xdr:spPr>
          <a:xfrm>
            <a:off x="1143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44" name="QRIOS">
            <a:extLst>
              <a:ext uri="{FF2B5EF4-FFF2-40B4-BE49-F238E27FC236}">
                <a16:creationId xmlns:a16="http://schemas.microsoft.com/office/drawing/2014/main" id="{00000000-0008-0000-0400-000078040000}"/>
              </a:ext>
            </a:extLst>
          </xdr:cNvPr>
          <xdr:cNvSpPr/>
        </xdr:nvSpPr>
        <xdr:spPr>
          <a:xfrm>
            <a:off x="1270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45" name="QRIOS">
            <a:extLst>
              <a:ext uri="{FF2B5EF4-FFF2-40B4-BE49-F238E27FC236}">
                <a16:creationId xmlns:a16="http://schemas.microsoft.com/office/drawing/2014/main" id="{00000000-0008-0000-0400-000079040000}"/>
              </a:ext>
            </a:extLst>
          </xdr:cNvPr>
          <xdr:cNvSpPr/>
        </xdr:nvSpPr>
        <xdr:spPr>
          <a:xfrm>
            <a:off x="1524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46" name="QRIOS">
            <a:extLst>
              <a:ext uri="{FF2B5EF4-FFF2-40B4-BE49-F238E27FC236}">
                <a16:creationId xmlns:a16="http://schemas.microsoft.com/office/drawing/2014/main" id="{00000000-0008-0000-0400-00007A040000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47" name="QRIOS">
            <a:extLst>
              <a:ext uri="{FF2B5EF4-FFF2-40B4-BE49-F238E27FC236}">
                <a16:creationId xmlns:a16="http://schemas.microsoft.com/office/drawing/2014/main" id="{00000000-0008-0000-0400-00007B040000}"/>
              </a:ext>
            </a:extLst>
          </xdr:cNvPr>
          <xdr:cNvSpPr/>
        </xdr:nvSpPr>
        <xdr:spPr>
          <a:xfrm>
            <a:off x="2286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48" name="QRIOS">
            <a:extLst>
              <a:ext uri="{FF2B5EF4-FFF2-40B4-BE49-F238E27FC236}">
                <a16:creationId xmlns:a16="http://schemas.microsoft.com/office/drawing/2014/main" id="{00000000-0008-0000-0400-00007C040000}"/>
              </a:ext>
            </a:extLst>
          </xdr:cNvPr>
          <xdr:cNvSpPr/>
        </xdr:nvSpPr>
        <xdr:spPr>
          <a:xfrm>
            <a:off x="2413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49" name="QRIOS">
            <a:extLst>
              <a:ext uri="{FF2B5EF4-FFF2-40B4-BE49-F238E27FC236}">
                <a16:creationId xmlns:a16="http://schemas.microsoft.com/office/drawing/2014/main" id="{00000000-0008-0000-0400-00007D040000}"/>
              </a:ext>
            </a:extLst>
          </xdr:cNvPr>
          <xdr:cNvSpPr/>
        </xdr:nvSpPr>
        <xdr:spPr>
          <a:xfrm>
            <a:off x="266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50" name="QRIOS">
            <a:extLst>
              <a:ext uri="{FF2B5EF4-FFF2-40B4-BE49-F238E27FC236}">
                <a16:creationId xmlns:a16="http://schemas.microsoft.com/office/drawing/2014/main" id="{00000000-0008-0000-0400-00007E040000}"/>
              </a:ext>
            </a:extLst>
          </xdr:cNvPr>
          <xdr:cNvSpPr/>
        </xdr:nvSpPr>
        <xdr:spPr>
          <a:xfrm>
            <a:off x="2921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51" name="QRIOS">
            <a:extLst>
              <a:ext uri="{FF2B5EF4-FFF2-40B4-BE49-F238E27FC236}">
                <a16:creationId xmlns:a16="http://schemas.microsoft.com/office/drawing/2014/main" id="{00000000-0008-0000-0400-00007F040000}"/>
              </a:ext>
            </a:extLst>
          </xdr:cNvPr>
          <xdr:cNvSpPr/>
        </xdr:nvSpPr>
        <xdr:spPr>
          <a:xfrm>
            <a:off x="3175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52" name="QRIOS">
            <a:extLst>
              <a:ext uri="{FF2B5EF4-FFF2-40B4-BE49-F238E27FC236}">
                <a16:creationId xmlns:a16="http://schemas.microsoft.com/office/drawing/2014/main" id="{00000000-0008-0000-0400-000080040000}"/>
              </a:ext>
            </a:extLst>
          </xdr:cNvPr>
          <xdr:cNvSpPr/>
        </xdr:nvSpPr>
        <xdr:spPr>
          <a:xfrm>
            <a:off x="330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53" name="QRIOS">
            <a:extLst>
              <a:ext uri="{FF2B5EF4-FFF2-40B4-BE49-F238E27FC236}">
                <a16:creationId xmlns:a16="http://schemas.microsoft.com/office/drawing/2014/main" id="{00000000-0008-0000-0400-000081040000}"/>
              </a:ext>
            </a:extLst>
          </xdr:cNvPr>
          <xdr:cNvSpPr/>
        </xdr:nvSpPr>
        <xdr:spPr>
          <a:xfrm>
            <a:off x="3429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54" name="QRIOS">
            <a:extLst>
              <a:ext uri="{FF2B5EF4-FFF2-40B4-BE49-F238E27FC236}">
                <a16:creationId xmlns:a16="http://schemas.microsoft.com/office/drawing/2014/main" id="{00000000-0008-0000-0400-000082040000}"/>
              </a:ext>
            </a:extLst>
          </xdr:cNvPr>
          <xdr:cNvSpPr/>
        </xdr:nvSpPr>
        <xdr:spPr>
          <a:xfrm>
            <a:off x="3683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55" name="QRIOS">
            <a:extLst>
              <a:ext uri="{FF2B5EF4-FFF2-40B4-BE49-F238E27FC236}">
                <a16:creationId xmlns:a16="http://schemas.microsoft.com/office/drawing/2014/main" id="{00000000-0008-0000-0400-000083040000}"/>
              </a:ext>
            </a:extLst>
          </xdr:cNvPr>
          <xdr:cNvSpPr/>
        </xdr:nvSpPr>
        <xdr:spPr>
          <a:xfrm>
            <a:off x="3810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56" name="QRIOS">
            <a:extLst>
              <a:ext uri="{FF2B5EF4-FFF2-40B4-BE49-F238E27FC236}">
                <a16:creationId xmlns:a16="http://schemas.microsoft.com/office/drawing/2014/main" id="{00000000-0008-0000-0400-000084040000}"/>
              </a:ext>
            </a:extLst>
          </xdr:cNvPr>
          <xdr:cNvSpPr/>
        </xdr:nvSpPr>
        <xdr:spPr>
          <a:xfrm>
            <a:off x="393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57" name="QRIOS">
            <a:extLst>
              <a:ext uri="{FF2B5EF4-FFF2-40B4-BE49-F238E27FC236}">
                <a16:creationId xmlns:a16="http://schemas.microsoft.com/office/drawing/2014/main" id="{00000000-0008-0000-0400-000085040000}"/>
              </a:ext>
            </a:extLst>
          </xdr:cNvPr>
          <xdr:cNvSpPr/>
        </xdr:nvSpPr>
        <xdr:spPr>
          <a:xfrm>
            <a:off x="4318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58" name="QRIOS">
            <a:extLst>
              <a:ext uri="{FF2B5EF4-FFF2-40B4-BE49-F238E27FC236}">
                <a16:creationId xmlns:a16="http://schemas.microsoft.com/office/drawing/2014/main" id="{00000000-0008-0000-0400-000086040000}"/>
              </a:ext>
            </a:extLst>
          </xdr:cNvPr>
          <xdr:cNvSpPr/>
        </xdr:nvSpPr>
        <xdr:spPr>
          <a:xfrm>
            <a:off x="4445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59" name="QRIOS">
            <a:extLst>
              <a:ext uri="{FF2B5EF4-FFF2-40B4-BE49-F238E27FC236}">
                <a16:creationId xmlns:a16="http://schemas.microsoft.com/office/drawing/2014/main" id="{00000000-0008-0000-0400-000087040000}"/>
              </a:ext>
            </a:extLst>
          </xdr:cNvPr>
          <xdr:cNvSpPr/>
        </xdr:nvSpPr>
        <xdr:spPr>
          <a:xfrm>
            <a:off x="457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60" name="QRIOS">
            <a:extLst>
              <a:ext uri="{FF2B5EF4-FFF2-40B4-BE49-F238E27FC236}">
                <a16:creationId xmlns:a16="http://schemas.microsoft.com/office/drawing/2014/main" id="{00000000-0008-0000-0400-000088040000}"/>
              </a:ext>
            </a:extLst>
          </xdr:cNvPr>
          <xdr:cNvSpPr/>
        </xdr:nvSpPr>
        <xdr:spPr>
          <a:xfrm>
            <a:off x="5080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61" name="QRIOS">
            <a:extLst>
              <a:ext uri="{FF2B5EF4-FFF2-40B4-BE49-F238E27FC236}">
                <a16:creationId xmlns:a16="http://schemas.microsoft.com/office/drawing/2014/main" id="{00000000-0008-0000-0400-000089040000}"/>
              </a:ext>
            </a:extLst>
          </xdr:cNvPr>
          <xdr:cNvSpPr/>
        </xdr:nvSpPr>
        <xdr:spPr>
          <a:xfrm>
            <a:off x="127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62" name="QRIOS">
            <a:extLst>
              <a:ext uri="{FF2B5EF4-FFF2-40B4-BE49-F238E27FC236}">
                <a16:creationId xmlns:a16="http://schemas.microsoft.com/office/drawing/2014/main" id="{00000000-0008-0000-0400-00008A040000}"/>
              </a:ext>
            </a:extLst>
          </xdr:cNvPr>
          <xdr:cNvSpPr/>
        </xdr:nvSpPr>
        <xdr:spPr>
          <a:xfrm>
            <a:off x="254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63" name="QRIOS">
            <a:extLst>
              <a:ext uri="{FF2B5EF4-FFF2-40B4-BE49-F238E27FC236}">
                <a16:creationId xmlns:a16="http://schemas.microsoft.com/office/drawing/2014/main" id="{00000000-0008-0000-0400-00008B040000}"/>
              </a:ext>
            </a:extLst>
          </xdr:cNvPr>
          <xdr:cNvSpPr/>
        </xdr:nvSpPr>
        <xdr:spPr>
          <a:xfrm>
            <a:off x="381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64" name="QRIOS">
            <a:extLst>
              <a:ext uri="{FF2B5EF4-FFF2-40B4-BE49-F238E27FC236}">
                <a16:creationId xmlns:a16="http://schemas.microsoft.com/office/drawing/2014/main" id="{00000000-0008-0000-0400-00008C040000}"/>
              </a:ext>
            </a:extLst>
          </xdr:cNvPr>
          <xdr:cNvSpPr/>
        </xdr:nvSpPr>
        <xdr:spPr>
          <a:xfrm>
            <a:off x="508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65" name="QRIOS">
            <a:extLst>
              <a:ext uri="{FF2B5EF4-FFF2-40B4-BE49-F238E27FC236}">
                <a16:creationId xmlns:a16="http://schemas.microsoft.com/office/drawing/2014/main" id="{00000000-0008-0000-0400-00008D040000}"/>
              </a:ext>
            </a:extLst>
          </xdr:cNvPr>
          <xdr:cNvSpPr/>
        </xdr:nvSpPr>
        <xdr:spPr>
          <a:xfrm>
            <a:off x="889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66" name="QRIOS">
            <a:extLst>
              <a:ext uri="{FF2B5EF4-FFF2-40B4-BE49-F238E27FC236}">
                <a16:creationId xmlns:a16="http://schemas.microsoft.com/office/drawing/2014/main" id="{00000000-0008-0000-0400-00008E040000}"/>
              </a:ext>
            </a:extLst>
          </xdr:cNvPr>
          <xdr:cNvSpPr/>
        </xdr:nvSpPr>
        <xdr:spPr>
          <a:xfrm>
            <a:off x="1397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67" name="QRIOS">
            <a:extLst>
              <a:ext uri="{FF2B5EF4-FFF2-40B4-BE49-F238E27FC236}">
                <a16:creationId xmlns:a16="http://schemas.microsoft.com/office/drawing/2014/main" id="{00000000-0008-0000-0400-00008F040000}"/>
              </a:ext>
            </a:extLst>
          </xdr:cNvPr>
          <xdr:cNvSpPr/>
        </xdr:nvSpPr>
        <xdr:spPr>
          <a:xfrm>
            <a:off x="1524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68" name="QRIOS">
            <a:extLst>
              <a:ext uri="{FF2B5EF4-FFF2-40B4-BE49-F238E27FC236}">
                <a16:creationId xmlns:a16="http://schemas.microsoft.com/office/drawing/2014/main" id="{00000000-0008-0000-0400-000090040000}"/>
              </a:ext>
            </a:extLst>
          </xdr:cNvPr>
          <xdr:cNvSpPr/>
        </xdr:nvSpPr>
        <xdr:spPr>
          <a:xfrm>
            <a:off x="1778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69" name="QRIOS">
            <a:extLst>
              <a:ext uri="{FF2B5EF4-FFF2-40B4-BE49-F238E27FC236}">
                <a16:creationId xmlns:a16="http://schemas.microsoft.com/office/drawing/2014/main" id="{00000000-0008-0000-0400-000091040000}"/>
              </a:ext>
            </a:extLst>
          </xdr:cNvPr>
          <xdr:cNvSpPr/>
        </xdr:nvSpPr>
        <xdr:spPr>
          <a:xfrm>
            <a:off x="1905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70" name="QRIOS">
            <a:extLst>
              <a:ext uri="{FF2B5EF4-FFF2-40B4-BE49-F238E27FC236}">
                <a16:creationId xmlns:a16="http://schemas.microsoft.com/office/drawing/2014/main" id="{00000000-0008-0000-0400-000092040000}"/>
              </a:ext>
            </a:extLst>
          </xdr:cNvPr>
          <xdr:cNvSpPr/>
        </xdr:nvSpPr>
        <xdr:spPr>
          <a:xfrm>
            <a:off x="2032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71" name="QRIOS">
            <a:extLst>
              <a:ext uri="{FF2B5EF4-FFF2-40B4-BE49-F238E27FC236}">
                <a16:creationId xmlns:a16="http://schemas.microsoft.com/office/drawing/2014/main" id="{00000000-0008-0000-0400-000093040000}"/>
              </a:ext>
            </a:extLst>
          </xdr:cNvPr>
          <xdr:cNvSpPr/>
        </xdr:nvSpPr>
        <xdr:spPr>
          <a:xfrm>
            <a:off x="2286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72" name="QRIOS">
            <a:extLst>
              <a:ext uri="{FF2B5EF4-FFF2-40B4-BE49-F238E27FC236}">
                <a16:creationId xmlns:a16="http://schemas.microsoft.com/office/drawing/2014/main" id="{00000000-0008-0000-0400-000094040000}"/>
              </a:ext>
            </a:extLst>
          </xdr:cNvPr>
          <xdr:cNvSpPr/>
        </xdr:nvSpPr>
        <xdr:spPr>
          <a:xfrm>
            <a:off x="2413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73" name="QRIOS">
            <a:extLst>
              <a:ext uri="{FF2B5EF4-FFF2-40B4-BE49-F238E27FC236}">
                <a16:creationId xmlns:a16="http://schemas.microsoft.com/office/drawing/2014/main" id="{00000000-0008-0000-0400-000095040000}"/>
              </a:ext>
            </a:extLst>
          </xdr:cNvPr>
          <xdr:cNvSpPr/>
        </xdr:nvSpPr>
        <xdr:spPr>
          <a:xfrm>
            <a:off x="2921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74" name="QRIOS">
            <a:extLst>
              <a:ext uri="{FF2B5EF4-FFF2-40B4-BE49-F238E27FC236}">
                <a16:creationId xmlns:a16="http://schemas.microsoft.com/office/drawing/2014/main" id="{00000000-0008-0000-0400-000096040000}"/>
              </a:ext>
            </a:extLst>
          </xdr:cNvPr>
          <xdr:cNvSpPr/>
        </xdr:nvSpPr>
        <xdr:spPr>
          <a:xfrm>
            <a:off x="3302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75" name="QRIOS">
            <a:extLst>
              <a:ext uri="{FF2B5EF4-FFF2-40B4-BE49-F238E27FC236}">
                <a16:creationId xmlns:a16="http://schemas.microsoft.com/office/drawing/2014/main" id="{00000000-0008-0000-0400-000097040000}"/>
              </a:ext>
            </a:extLst>
          </xdr:cNvPr>
          <xdr:cNvSpPr/>
        </xdr:nvSpPr>
        <xdr:spPr>
          <a:xfrm>
            <a:off x="3429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76" name="QRIOS">
            <a:extLst>
              <a:ext uri="{FF2B5EF4-FFF2-40B4-BE49-F238E27FC236}">
                <a16:creationId xmlns:a16="http://schemas.microsoft.com/office/drawing/2014/main" id="{00000000-0008-0000-0400-000098040000}"/>
              </a:ext>
            </a:extLst>
          </xdr:cNvPr>
          <xdr:cNvSpPr/>
        </xdr:nvSpPr>
        <xdr:spPr>
          <a:xfrm>
            <a:off x="381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77" name="QRIOS">
            <a:extLst>
              <a:ext uri="{FF2B5EF4-FFF2-40B4-BE49-F238E27FC236}">
                <a16:creationId xmlns:a16="http://schemas.microsoft.com/office/drawing/2014/main" id="{00000000-0008-0000-0400-000099040000}"/>
              </a:ext>
            </a:extLst>
          </xdr:cNvPr>
          <xdr:cNvSpPr/>
        </xdr:nvSpPr>
        <xdr:spPr>
          <a:xfrm>
            <a:off x="3937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78" name="QRIOS">
            <a:extLst>
              <a:ext uri="{FF2B5EF4-FFF2-40B4-BE49-F238E27FC236}">
                <a16:creationId xmlns:a16="http://schemas.microsoft.com/office/drawing/2014/main" id="{00000000-0008-0000-0400-00009A040000}"/>
              </a:ext>
            </a:extLst>
          </xdr:cNvPr>
          <xdr:cNvSpPr/>
        </xdr:nvSpPr>
        <xdr:spPr>
          <a:xfrm>
            <a:off x="4191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79" name="QRIOS">
            <a:extLst>
              <a:ext uri="{FF2B5EF4-FFF2-40B4-BE49-F238E27FC236}">
                <a16:creationId xmlns:a16="http://schemas.microsoft.com/office/drawing/2014/main" id="{00000000-0008-0000-0400-00009B040000}"/>
              </a:ext>
            </a:extLst>
          </xdr:cNvPr>
          <xdr:cNvSpPr/>
        </xdr:nvSpPr>
        <xdr:spPr>
          <a:xfrm>
            <a:off x="4699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80" name="QRIOS">
            <a:extLst>
              <a:ext uri="{FF2B5EF4-FFF2-40B4-BE49-F238E27FC236}">
                <a16:creationId xmlns:a16="http://schemas.microsoft.com/office/drawing/2014/main" id="{00000000-0008-0000-0400-00009C040000}"/>
              </a:ext>
            </a:extLst>
          </xdr:cNvPr>
          <xdr:cNvSpPr/>
        </xdr:nvSpPr>
        <xdr:spPr>
          <a:xfrm>
            <a:off x="4953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81" name="QRIOS">
            <a:extLst>
              <a:ext uri="{FF2B5EF4-FFF2-40B4-BE49-F238E27FC236}">
                <a16:creationId xmlns:a16="http://schemas.microsoft.com/office/drawing/2014/main" id="{00000000-0008-0000-0400-00009D040000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82" name="QRIOS">
            <a:extLst>
              <a:ext uri="{FF2B5EF4-FFF2-40B4-BE49-F238E27FC236}">
                <a16:creationId xmlns:a16="http://schemas.microsoft.com/office/drawing/2014/main" id="{00000000-0008-0000-0400-00009E040000}"/>
              </a:ext>
            </a:extLst>
          </xdr:cNvPr>
          <xdr:cNvSpPr/>
        </xdr:nvSpPr>
        <xdr:spPr>
          <a:xfrm>
            <a:off x="127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83" name="QRIOS">
            <a:extLst>
              <a:ext uri="{FF2B5EF4-FFF2-40B4-BE49-F238E27FC236}">
                <a16:creationId xmlns:a16="http://schemas.microsoft.com/office/drawing/2014/main" id="{00000000-0008-0000-0400-00009F040000}"/>
              </a:ext>
            </a:extLst>
          </xdr:cNvPr>
          <xdr:cNvSpPr/>
        </xdr:nvSpPr>
        <xdr:spPr>
          <a:xfrm>
            <a:off x="25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84" name="QRIOS">
            <a:extLst>
              <a:ext uri="{FF2B5EF4-FFF2-40B4-BE49-F238E27FC236}">
                <a16:creationId xmlns:a16="http://schemas.microsoft.com/office/drawing/2014/main" id="{00000000-0008-0000-0400-0000A0040000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85" name="QRIOS">
            <a:extLst>
              <a:ext uri="{FF2B5EF4-FFF2-40B4-BE49-F238E27FC236}">
                <a16:creationId xmlns:a16="http://schemas.microsoft.com/office/drawing/2014/main" id="{00000000-0008-0000-0400-0000A1040000}"/>
              </a:ext>
            </a:extLst>
          </xdr:cNvPr>
          <xdr:cNvSpPr/>
        </xdr:nvSpPr>
        <xdr:spPr>
          <a:xfrm>
            <a:off x="63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86" name="QRIOS">
            <a:extLst>
              <a:ext uri="{FF2B5EF4-FFF2-40B4-BE49-F238E27FC236}">
                <a16:creationId xmlns:a16="http://schemas.microsoft.com/office/drawing/2014/main" id="{00000000-0008-0000-0400-0000A2040000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87" name="QRIOS">
            <a:extLst>
              <a:ext uri="{FF2B5EF4-FFF2-40B4-BE49-F238E27FC236}">
                <a16:creationId xmlns:a16="http://schemas.microsoft.com/office/drawing/2014/main" id="{00000000-0008-0000-0400-0000A3040000}"/>
              </a:ext>
            </a:extLst>
          </xdr:cNvPr>
          <xdr:cNvSpPr/>
        </xdr:nvSpPr>
        <xdr:spPr>
          <a:xfrm>
            <a:off x="152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88" name="QRIOS">
            <a:extLst>
              <a:ext uri="{FF2B5EF4-FFF2-40B4-BE49-F238E27FC236}">
                <a16:creationId xmlns:a16="http://schemas.microsoft.com/office/drawing/2014/main" id="{00000000-0008-0000-0400-0000A4040000}"/>
              </a:ext>
            </a:extLst>
          </xdr:cNvPr>
          <xdr:cNvSpPr/>
        </xdr:nvSpPr>
        <xdr:spPr>
          <a:xfrm>
            <a:off x="2286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89" name="QRIOS">
            <a:extLst>
              <a:ext uri="{FF2B5EF4-FFF2-40B4-BE49-F238E27FC236}">
                <a16:creationId xmlns:a16="http://schemas.microsoft.com/office/drawing/2014/main" id="{00000000-0008-0000-0400-0000A5040000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90" name="QRIOS">
            <a:extLst>
              <a:ext uri="{FF2B5EF4-FFF2-40B4-BE49-F238E27FC236}">
                <a16:creationId xmlns:a16="http://schemas.microsoft.com/office/drawing/2014/main" id="{00000000-0008-0000-0400-0000A6040000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91" name="QRIOS">
            <a:extLst>
              <a:ext uri="{FF2B5EF4-FFF2-40B4-BE49-F238E27FC236}">
                <a16:creationId xmlns:a16="http://schemas.microsoft.com/office/drawing/2014/main" id="{00000000-0008-0000-0400-0000A7040000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92" name="QRIOS">
            <a:extLst>
              <a:ext uri="{FF2B5EF4-FFF2-40B4-BE49-F238E27FC236}">
                <a16:creationId xmlns:a16="http://schemas.microsoft.com/office/drawing/2014/main" id="{00000000-0008-0000-0400-0000A8040000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93" name="QRIOS">
            <a:extLst>
              <a:ext uri="{FF2B5EF4-FFF2-40B4-BE49-F238E27FC236}">
                <a16:creationId xmlns:a16="http://schemas.microsoft.com/office/drawing/2014/main" id="{00000000-0008-0000-0400-0000A9040000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94" name="QRIOS">
            <a:extLst>
              <a:ext uri="{FF2B5EF4-FFF2-40B4-BE49-F238E27FC236}">
                <a16:creationId xmlns:a16="http://schemas.microsoft.com/office/drawing/2014/main" id="{00000000-0008-0000-0400-0000AA040000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95" name="QRIOS">
            <a:extLst>
              <a:ext uri="{FF2B5EF4-FFF2-40B4-BE49-F238E27FC236}">
                <a16:creationId xmlns:a16="http://schemas.microsoft.com/office/drawing/2014/main" id="{00000000-0008-0000-0400-0000AB040000}"/>
              </a:ext>
            </a:extLst>
          </xdr:cNvPr>
          <xdr:cNvSpPr/>
        </xdr:nvSpPr>
        <xdr:spPr>
          <a:xfrm>
            <a:off x="3937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96" name="QRIOS">
            <a:extLst>
              <a:ext uri="{FF2B5EF4-FFF2-40B4-BE49-F238E27FC236}">
                <a16:creationId xmlns:a16="http://schemas.microsoft.com/office/drawing/2014/main" id="{00000000-0008-0000-0400-0000AC040000}"/>
              </a:ext>
            </a:extLst>
          </xdr:cNvPr>
          <xdr:cNvSpPr/>
        </xdr:nvSpPr>
        <xdr:spPr>
          <a:xfrm>
            <a:off x="406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97" name="QRIOS">
            <a:extLst>
              <a:ext uri="{FF2B5EF4-FFF2-40B4-BE49-F238E27FC236}">
                <a16:creationId xmlns:a16="http://schemas.microsoft.com/office/drawing/2014/main" id="{00000000-0008-0000-0400-0000AD040000}"/>
              </a:ext>
            </a:extLst>
          </xdr:cNvPr>
          <xdr:cNvSpPr/>
        </xdr:nvSpPr>
        <xdr:spPr>
          <a:xfrm>
            <a:off x="4318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98" name="QRIOS">
            <a:extLst>
              <a:ext uri="{FF2B5EF4-FFF2-40B4-BE49-F238E27FC236}">
                <a16:creationId xmlns:a16="http://schemas.microsoft.com/office/drawing/2014/main" id="{00000000-0008-0000-0400-0000AE040000}"/>
              </a:ext>
            </a:extLst>
          </xdr:cNvPr>
          <xdr:cNvSpPr/>
        </xdr:nvSpPr>
        <xdr:spPr>
          <a:xfrm>
            <a:off x="469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99" name="QRIOS">
            <a:extLst>
              <a:ext uri="{FF2B5EF4-FFF2-40B4-BE49-F238E27FC236}">
                <a16:creationId xmlns:a16="http://schemas.microsoft.com/office/drawing/2014/main" id="{00000000-0008-0000-0400-0000AF040000}"/>
              </a:ext>
            </a:extLst>
          </xdr:cNvPr>
          <xdr:cNvSpPr/>
        </xdr:nvSpPr>
        <xdr:spPr>
          <a:xfrm>
            <a:off x="4953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00" name="QRIOS">
            <a:extLst>
              <a:ext uri="{FF2B5EF4-FFF2-40B4-BE49-F238E27FC236}">
                <a16:creationId xmlns:a16="http://schemas.microsoft.com/office/drawing/2014/main" id="{00000000-0008-0000-0400-0000B0040000}"/>
              </a:ext>
            </a:extLst>
          </xdr:cNvPr>
          <xdr:cNvSpPr/>
        </xdr:nvSpPr>
        <xdr:spPr>
          <a:xfrm>
            <a:off x="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01" name="QRIOS">
            <a:extLst>
              <a:ext uri="{FF2B5EF4-FFF2-40B4-BE49-F238E27FC236}">
                <a16:creationId xmlns:a16="http://schemas.microsoft.com/office/drawing/2014/main" id="{00000000-0008-0000-0400-0000B1040000}"/>
              </a:ext>
            </a:extLst>
          </xdr:cNvPr>
          <xdr:cNvSpPr/>
        </xdr:nvSpPr>
        <xdr:spPr>
          <a:xfrm>
            <a:off x="508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02" name="QRIOS">
            <a:extLst>
              <a:ext uri="{FF2B5EF4-FFF2-40B4-BE49-F238E27FC236}">
                <a16:creationId xmlns:a16="http://schemas.microsoft.com/office/drawing/2014/main" id="{00000000-0008-0000-0400-0000B2040000}"/>
              </a:ext>
            </a:extLst>
          </xdr:cNvPr>
          <xdr:cNvSpPr/>
        </xdr:nvSpPr>
        <xdr:spPr>
          <a:xfrm>
            <a:off x="889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03" name="QRIOS">
            <a:extLst>
              <a:ext uri="{FF2B5EF4-FFF2-40B4-BE49-F238E27FC236}">
                <a16:creationId xmlns:a16="http://schemas.microsoft.com/office/drawing/2014/main" id="{00000000-0008-0000-0400-0000B3040000}"/>
              </a:ext>
            </a:extLst>
          </xdr:cNvPr>
          <xdr:cNvSpPr/>
        </xdr:nvSpPr>
        <xdr:spPr>
          <a:xfrm>
            <a:off x="127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04" name="QRIOS">
            <a:extLst>
              <a:ext uri="{FF2B5EF4-FFF2-40B4-BE49-F238E27FC236}">
                <a16:creationId xmlns:a16="http://schemas.microsoft.com/office/drawing/2014/main" id="{00000000-0008-0000-0400-0000B4040000}"/>
              </a:ext>
            </a:extLst>
          </xdr:cNvPr>
          <xdr:cNvSpPr/>
        </xdr:nvSpPr>
        <xdr:spPr>
          <a:xfrm>
            <a:off x="1397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05" name="QRIOS">
            <a:extLst>
              <a:ext uri="{FF2B5EF4-FFF2-40B4-BE49-F238E27FC236}">
                <a16:creationId xmlns:a16="http://schemas.microsoft.com/office/drawing/2014/main" id="{00000000-0008-0000-0400-0000B5040000}"/>
              </a:ext>
            </a:extLst>
          </xdr:cNvPr>
          <xdr:cNvSpPr/>
        </xdr:nvSpPr>
        <xdr:spPr>
          <a:xfrm>
            <a:off x="1651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06" name="QRIOS">
            <a:extLst>
              <a:ext uri="{FF2B5EF4-FFF2-40B4-BE49-F238E27FC236}">
                <a16:creationId xmlns:a16="http://schemas.microsoft.com/office/drawing/2014/main" id="{00000000-0008-0000-0400-0000B6040000}"/>
              </a:ext>
            </a:extLst>
          </xdr:cNvPr>
          <xdr:cNvSpPr/>
        </xdr:nvSpPr>
        <xdr:spPr>
          <a:xfrm>
            <a:off x="1905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07" name="QRIOS">
            <a:extLst>
              <a:ext uri="{FF2B5EF4-FFF2-40B4-BE49-F238E27FC236}">
                <a16:creationId xmlns:a16="http://schemas.microsoft.com/office/drawing/2014/main" id="{00000000-0008-0000-0400-0000B7040000}"/>
              </a:ext>
            </a:extLst>
          </xdr:cNvPr>
          <xdr:cNvSpPr/>
        </xdr:nvSpPr>
        <xdr:spPr>
          <a:xfrm>
            <a:off x="2032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08" name="QRIOS">
            <a:extLst>
              <a:ext uri="{FF2B5EF4-FFF2-40B4-BE49-F238E27FC236}">
                <a16:creationId xmlns:a16="http://schemas.microsoft.com/office/drawing/2014/main" id="{00000000-0008-0000-0400-0000B8040000}"/>
              </a:ext>
            </a:extLst>
          </xdr:cNvPr>
          <xdr:cNvSpPr/>
        </xdr:nvSpPr>
        <xdr:spPr>
          <a:xfrm>
            <a:off x="228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09" name="QRIOS">
            <a:extLst>
              <a:ext uri="{FF2B5EF4-FFF2-40B4-BE49-F238E27FC236}">
                <a16:creationId xmlns:a16="http://schemas.microsoft.com/office/drawing/2014/main" id="{00000000-0008-0000-0400-0000B9040000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10" name="QRIOS">
            <a:extLst>
              <a:ext uri="{FF2B5EF4-FFF2-40B4-BE49-F238E27FC236}">
                <a16:creationId xmlns:a16="http://schemas.microsoft.com/office/drawing/2014/main" id="{00000000-0008-0000-0400-0000BA040000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11" name="QRIOS">
            <a:extLst>
              <a:ext uri="{FF2B5EF4-FFF2-40B4-BE49-F238E27FC236}">
                <a16:creationId xmlns:a16="http://schemas.microsoft.com/office/drawing/2014/main" id="{00000000-0008-0000-0400-0000BB040000}"/>
              </a:ext>
            </a:extLst>
          </xdr:cNvPr>
          <xdr:cNvSpPr/>
        </xdr:nvSpPr>
        <xdr:spPr>
          <a:xfrm>
            <a:off x="2921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12" name="QRIOS">
            <a:extLst>
              <a:ext uri="{FF2B5EF4-FFF2-40B4-BE49-F238E27FC236}">
                <a16:creationId xmlns:a16="http://schemas.microsoft.com/office/drawing/2014/main" id="{00000000-0008-0000-0400-0000BC040000}"/>
              </a:ext>
            </a:extLst>
          </xdr:cNvPr>
          <xdr:cNvSpPr/>
        </xdr:nvSpPr>
        <xdr:spPr>
          <a:xfrm>
            <a:off x="3048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13" name="QRIOS">
            <a:extLst>
              <a:ext uri="{FF2B5EF4-FFF2-40B4-BE49-F238E27FC236}">
                <a16:creationId xmlns:a16="http://schemas.microsoft.com/office/drawing/2014/main" id="{00000000-0008-0000-0400-0000BD040000}"/>
              </a:ext>
            </a:extLst>
          </xdr:cNvPr>
          <xdr:cNvSpPr/>
        </xdr:nvSpPr>
        <xdr:spPr>
          <a:xfrm>
            <a:off x="3429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14" name="QRIOS">
            <a:extLst>
              <a:ext uri="{FF2B5EF4-FFF2-40B4-BE49-F238E27FC236}">
                <a16:creationId xmlns:a16="http://schemas.microsoft.com/office/drawing/2014/main" id="{00000000-0008-0000-0400-0000BE040000}"/>
              </a:ext>
            </a:extLst>
          </xdr:cNvPr>
          <xdr:cNvSpPr/>
        </xdr:nvSpPr>
        <xdr:spPr>
          <a:xfrm>
            <a:off x="355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15" name="QRIOS">
            <a:extLst>
              <a:ext uri="{FF2B5EF4-FFF2-40B4-BE49-F238E27FC236}">
                <a16:creationId xmlns:a16="http://schemas.microsoft.com/office/drawing/2014/main" id="{00000000-0008-0000-0400-0000BF040000}"/>
              </a:ext>
            </a:extLst>
          </xdr:cNvPr>
          <xdr:cNvSpPr/>
        </xdr:nvSpPr>
        <xdr:spPr>
          <a:xfrm>
            <a:off x="3683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16" name="QRIOS">
            <a:extLst>
              <a:ext uri="{FF2B5EF4-FFF2-40B4-BE49-F238E27FC236}">
                <a16:creationId xmlns:a16="http://schemas.microsoft.com/office/drawing/2014/main" id="{00000000-0008-0000-0400-0000C0040000}"/>
              </a:ext>
            </a:extLst>
          </xdr:cNvPr>
          <xdr:cNvSpPr/>
        </xdr:nvSpPr>
        <xdr:spPr>
          <a:xfrm>
            <a:off x="3937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17" name="QRIOS">
            <a:extLst>
              <a:ext uri="{FF2B5EF4-FFF2-40B4-BE49-F238E27FC236}">
                <a16:creationId xmlns:a16="http://schemas.microsoft.com/office/drawing/2014/main" id="{00000000-0008-0000-0400-0000C1040000}"/>
              </a:ext>
            </a:extLst>
          </xdr:cNvPr>
          <xdr:cNvSpPr/>
        </xdr:nvSpPr>
        <xdr:spPr>
          <a:xfrm>
            <a:off x="4191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18" name="QRIOS">
            <a:extLst>
              <a:ext uri="{FF2B5EF4-FFF2-40B4-BE49-F238E27FC236}">
                <a16:creationId xmlns:a16="http://schemas.microsoft.com/office/drawing/2014/main" id="{00000000-0008-0000-0400-0000C2040000}"/>
              </a:ext>
            </a:extLst>
          </xdr:cNvPr>
          <xdr:cNvSpPr/>
        </xdr:nvSpPr>
        <xdr:spPr>
          <a:xfrm>
            <a:off x="4318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19" name="QRIOS">
            <a:extLst>
              <a:ext uri="{FF2B5EF4-FFF2-40B4-BE49-F238E27FC236}">
                <a16:creationId xmlns:a16="http://schemas.microsoft.com/office/drawing/2014/main" id="{00000000-0008-0000-0400-0000C3040000}"/>
              </a:ext>
            </a:extLst>
          </xdr:cNvPr>
          <xdr:cNvSpPr/>
        </xdr:nvSpPr>
        <xdr:spPr>
          <a:xfrm>
            <a:off x="4445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20" name="QRIOS">
            <a:extLst>
              <a:ext uri="{FF2B5EF4-FFF2-40B4-BE49-F238E27FC236}">
                <a16:creationId xmlns:a16="http://schemas.microsoft.com/office/drawing/2014/main" id="{00000000-0008-0000-0400-0000C4040000}"/>
              </a:ext>
            </a:extLst>
          </xdr:cNvPr>
          <xdr:cNvSpPr/>
        </xdr:nvSpPr>
        <xdr:spPr>
          <a:xfrm>
            <a:off x="4699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21" name="QRIOS">
            <a:extLst>
              <a:ext uri="{FF2B5EF4-FFF2-40B4-BE49-F238E27FC236}">
                <a16:creationId xmlns:a16="http://schemas.microsoft.com/office/drawing/2014/main" id="{00000000-0008-0000-0400-0000C5040000}"/>
              </a:ext>
            </a:extLst>
          </xdr:cNvPr>
          <xdr:cNvSpPr/>
        </xdr:nvSpPr>
        <xdr:spPr>
          <a:xfrm>
            <a:off x="482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22" name="QRIOS">
            <a:extLst>
              <a:ext uri="{FF2B5EF4-FFF2-40B4-BE49-F238E27FC236}">
                <a16:creationId xmlns:a16="http://schemas.microsoft.com/office/drawing/2014/main" id="{00000000-0008-0000-0400-0000C6040000}"/>
              </a:ext>
            </a:extLst>
          </xdr:cNvPr>
          <xdr:cNvSpPr/>
        </xdr:nvSpPr>
        <xdr:spPr>
          <a:xfrm>
            <a:off x="508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23" name="QRIOS">
            <a:extLst>
              <a:ext uri="{FF2B5EF4-FFF2-40B4-BE49-F238E27FC236}">
                <a16:creationId xmlns:a16="http://schemas.microsoft.com/office/drawing/2014/main" id="{00000000-0008-0000-0400-0000C7040000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24" name="QRIOS">
            <a:extLst>
              <a:ext uri="{FF2B5EF4-FFF2-40B4-BE49-F238E27FC236}">
                <a16:creationId xmlns:a16="http://schemas.microsoft.com/office/drawing/2014/main" id="{00000000-0008-0000-0400-0000C8040000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25" name="QRIOS">
            <a:extLst>
              <a:ext uri="{FF2B5EF4-FFF2-40B4-BE49-F238E27FC236}">
                <a16:creationId xmlns:a16="http://schemas.microsoft.com/office/drawing/2014/main" id="{00000000-0008-0000-0400-0000C9040000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26" name="QRIOS">
            <a:extLst>
              <a:ext uri="{FF2B5EF4-FFF2-40B4-BE49-F238E27FC236}">
                <a16:creationId xmlns:a16="http://schemas.microsoft.com/office/drawing/2014/main" id="{00000000-0008-0000-0400-0000CA040000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27" name="QRIOS">
            <a:extLst>
              <a:ext uri="{FF2B5EF4-FFF2-40B4-BE49-F238E27FC236}">
                <a16:creationId xmlns:a16="http://schemas.microsoft.com/office/drawing/2014/main" id="{00000000-0008-0000-0400-0000CB040000}"/>
              </a:ext>
            </a:extLst>
          </xdr:cNvPr>
          <xdr:cNvSpPr/>
        </xdr:nvSpPr>
        <xdr:spPr>
          <a:xfrm>
            <a:off x="1143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28" name="QRIOS">
            <a:extLst>
              <a:ext uri="{FF2B5EF4-FFF2-40B4-BE49-F238E27FC236}">
                <a16:creationId xmlns:a16="http://schemas.microsoft.com/office/drawing/2014/main" id="{00000000-0008-0000-0400-0000CC040000}"/>
              </a:ext>
            </a:extLst>
          </xdr:cNvPr>
          <xdr:cNvSpPr/>
        </xdr:nvSpPr>
        <xdr:spPr>
          <a:xfrm>
            <a:off x="1270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29" name="QRIOS">
            <a:extLst>
              <a:ext uri="{FF2B5EF4-FFF2-40B4-BE49-F238E27FC236}">
                <a16:creationId xmlns:a16="http://schemas.microsoft.com/office/drawing/2014/main" id="{00000000-0008-0000-0400-0000CD040000}"/>
              </a:ext>
            </a:extLst>
          </xdr:cNvPr>
          <xdr:cNvSpPr/>
        </xdr:nvSpPr>
        <xdr:spPr>
          <a:xfrm>
            <a:off x="1397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30" name="QRIOS">
            <a:extLst>
              <a:ext uri="{FF2B5EF4-FFF2-40B4-BE49-F238E27FC236}">
                <a16:creationId xmlns:a16="http://schemas.microsoft.com/office/drawing/2014/main" id="{00000000-0008-0000-0400-0000CE040000}"/>
              </a:ext>
            </a:extLst>
          </xdr:cNvPr>
          <xdr:cNvSpPr/>
        </xdr:nvSpPr>
        <xdr:spPr>
          <a:xfrm>
            <a:off x="165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31" name="QRIOS">
            <a:extLst>
              <a:ext uri="{FF2B5EF4-FFF2-40B4-BE49-F238E27FC236}">
                <a16:creationId xmlns:a16="http://schemas.microsoft.com/office/drawing/2014/main" id="{00000000-0008-0000-0400-0000CF040000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32" name="QRIOS">
            <a:extLst>
              <a:ext uri="{FF2B5EF4-FFF2-40B4-BE49-F238E27FC236}">
                <a16:creationId xmlns:a16="http://schemas.microsoft.com/office/drawing/2014/main" id="{00000000-0008-0000-0400-0000D0040000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33" name="QRIOS">
            <a:extLst>
              <a:ext uri="{FF2B5EF4-FFF2-40B4-BE49-F238E27FC236}">
                <a16:creationId xmlns:a16="http://schemas.microsoft.com/office/drawing/2014/main" id="{00000000-0008-0000-0400-0000D1040000}"/>
              </a:ext>
            </a:extLst>
          </xdr:cNvPr>
          <xdr:cNvSpPr/>
        </xdr:nvSpPr>
        <xdr:spPr>
          <a:xfrm>
            <a:off x="2413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34" name="QRIOS">
            <a:extLst>
              <a:ext uri="{FF2B5EF4-FFF2-40B4-BE49-F238E27FC236}">
                <a16:creationId xmlns:a16="http://schemas.microsoft.com/office/drawing/2014/main" id="{00000000-0008-0000-0400-0000D2040000}"/>
              </a:ext>
            </a:extLst>
          </xdr:cNvPr>
          <xdr:cNvSpPr/>
        </xdr:nvSpPr>
        <xdr:spPr>
          <a:xfrm>
            <a:off x="2540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35" name="QRIOS">
            <a:extLst>
              <a:ext uri="{FF2B5EF4-FFF2-40B4-BE49-F238E27FC236}">
                <a16:creationId xmlns:a16="http://schemas.microsoft.com/office/drawing/2014/main" id="{00000000-0008-0000-0400-0000D3040000}"/>
              </a:ext>
            </a:extLst>
          </xdr:cNvPr>
          <xdr:cNvSpPr/>
        </xdr:nvSpPr>
        <xdr:spPr>
          <a:xfrm>
            <a:off x="292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36" name="QRIOS">
            <a:extLst>
              <a:ext uri="{FF2B5EF4-FFF2-40B4-BE49-F238E27FC236}">
                <a16:creationId xmlns:a16="http://schemas.microsoft.com/office/drawing/2014/main" id="{00000000-0008-0000-0400-0000D4040000}"/>
              </a:ext>
            </a:extLst>
          </xdr:cNvPr>
          <xdr:cNvSpPr/>
        </xdr:nvSpPr>
        <xdr:spPr>
          <a:xfrm>
            <a:off x="317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37" name="QRIOS">
            <a:extLst>
              <a:ext uri="{FF2B5EF4-FFF2-40B4-BE49-F238E27FC236}">
                <a16:creationId xmlns:a16="http://schemas.microsoft.com/office/drawing/2014/main" id="{00000000-0008-0000-0400-0000D5040000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38" name="QRIOS">
            <a:extLst>
              <a:ext uri="{FF2B5EF4-FFF2-40B4-BE49-F238E27FC236}">
                <a16:creationId xmlns:a16="http://schemas.microsoft.com/office/drawing/2014/main" id="{00000000-0008-0000-0400-0000D6040000}"/>
              </a:ext>
            </a:extLst>
          </xdr:cNvPr>
          <xdr:cNvSpPr/>
        </xdr:nvSpPr>
        <xdr:spPr>
          <a:xfrm>
            <a:off x="3429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39" name="QRIOS">
            <a:extLst>
              <a:ext uri="{FF2B5EF4-FFF2-40B4-BE49-F238E27FC236}">
                <a16:creationId xmlns:a16="http://schemas.microsoft.com/office/drawing/2014/main" id="{00000000-0008-0000-0400-0000D7040000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40" name="QRIOS">
            <a:extLst>
              <a:ext uri="{FF2B5EF4-FFF2-40B4-BE49-F238E27FC236}">
                <a16:creationId xmlns:a16="http://schemas.microsoft.com/office/drawing/2014/main" id="{00000000-0008-0000-0400-0000D8040000}"/>
              </a:ext>
            </a:extLst>
          </xdr:cNvPr>
          <xdr:cNvSpPr/>
        </xdr:nvSpPr>
        <xdr:spPr>
          <a:xfrm>
            <a:off x="3683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41" name="QRIOS">
            <a:extLst>
              <a:ext uri="{FF2B5EF4-FFF2-40B4-BE49-F238E27FC236}">
                <a16:creationId xmlns:a16="http://schemas.microsoft.com/office/drawing/2014/main" id="{00000000-0008-0000-0400-0000D9040000}"/>
              </a:ext>
            </a:extLst>
          </xdr:cNvPr>
          <xdr:cNvSpPr/>
        </xdr:nvSpPr>
        <xdr:spPr>
          <a:xfrm>
            <a:off x="3937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42" name="QRIOS">
            <a:extLst>
              <a:ext uri="{FF2B5EF4-FFF2-40B4-BE49-F238E27FC236}">
                <a16:creationId xmlns:a16="http://schemas.microsoft.com/office/drawing/2014/main" id="{00000000-0008-0000-0400-0000DA040000}"/>
              </a:ext>
            </a:extLst>
          </xdr:cNvPr>
          <xdr:cNvSpPr/>
        </xdr:nvSpPr>
        <xdr:spPr>
          <a:xfrm>
            <a:off x="419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43" name="QRIOS">
            <a:extLst>
              <a:ext uri="{FF2B5EF4-FFF2-40B4-BE49-F238E27FC236}">
                <a16:creationId xmlns:a16="http://schemas.microsoft.com/office/drawing/2014/main" id="{00000000-0008-0000-0400-0000DB040000}"/>
              </a:ext>
            </a:extLst>
          </xdr:cNvPr>
          <xdr:cNvSpPr/>
        </xdr:nvSpPr>
        <xdr:spPr>
          <a:xfrm>
            <a:off x="431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44" name="QRIOS">
            <a:extLst>
              <a:ext uri="{FF2B5EF4-FFF2-40B4-BE49-F238E27FC236}">
                <a16:creationId xmlns:a16="http://schemas.microsoft.com/office/drawing/2014/main" id="{00000000-0008-0000-0400-0000DC040000}"/>
              </a:ext>
            </a:extLst>
          </xdr:cNvPr>
          <xdr:cNvSpPr/>
        </xdr:nvSpPr>
        <xdr:spPr>
          <a:xfrm>
            <a:off x="444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45" name="QRIOS">
            <a:extLst>
              <a:ext uri="{FF2B5EF4-FFF2-40B4-BE49-F238E27FC236}">
                <a16:creationId xmlns:a16="http://schemas.microsoft.com/office/drawing/2014/main" id="{00000000-0008-0000-0400-0000DD040000}"/>
              </a:ext>
            </a:extLst>
          </xdr:cNvPr>
          <xdr:cNvSpPr/>
        </xdr:nvSpPr>
        <xdr:spPr>
          <a:xfrm>
            <a:off x="482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46" name="QRIOS">
            <a:extLst>
              <a:ext uri="{FF2B5EF4-FFF2-40B4-BE49-F238E27FC236}">
                <a16:creationId xmlns:a16="http://schemas.microsoft.com/office/drawing/2014/main" id="{00000000-0008-0000-0400-0000DE040000}"/>
              </a:ext>
            </a:extLst>
          </xdr:cNvPr>
          <xdr:cNvSpPr/>
        </xdr:nvSpPr>
        <xdr:spPr>
          <a:xfrm>
            <a:off x="5080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47" name="QRIOS">
            <a:extLst>
              <a:ext uri="{FF2B5EF4-FFF2-40B4-BE49-F238E27FC236}">
                <a16:creationId xmlns:a16="http://schemas.microsoft.com/office/drawing/2014/main" id="{00000000-0008-0000-0400-0000DF040000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48" name="QRIOS">
            <a:extLst>
              <a:ext uri="{FF2B5EF4-FFF2-40B4-BE49-F238E27FC236}">
                <a16:creationId xmlns:a16="http://schemas.microsoft.com/office/drawing/2014/main" id="{00000000-0008-0000-0400-0000E0040000}"/>
              </a:ext>
            </a:extLst>
          </xdr:cNvPr>
          <xdr:cNvSpPr/>
        </xdr:nvSpPr>
        <xdr:spPr>
          <a:xfrm>
            <a:off x="508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49" name="QRIOS">
            <a:extLst>
              <a:ext uri="{FF2B5EF4-FFF2-40B4-BE49-F238E27FC236}">
                <a16:creationId xmlns:a16="http://schemas.microsoft.com/office/drawing/2014/main" id="{00000000-0008-0000-0400-0000E1040000}"/>
              </a:ext>
            </a:extLst>
          </xdr:cNvPr>
          <xdr:cNvSpPr/>
        </xdr:nvSpPr>
        <xdr:spPr>
          <a:xfrm>
            <a:off x="635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50" name="QRIOS">
            <a:extLst>
              <a:ext uri="{FF2B5EF4-FFF2-40B4-BE49-F238E27FC236}">
                <a16:creationId xmlns:a16="http://schemas.microsoft.com/office/drawing/2014/main" id="{00000000-0008-0000-0400-0000E2040000}"/>
              </a:ext>
            </a:extLst>
          </xdr:cNvPr>
          <xdr:cNvSpPr/>
        </xdr:nvSpPr>
        <xdr:spPr>
          <a:xfrm>
            <a:off x="1143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51" name="QRIOS">
            <a:extLst>
              <a:ext uri="{FF2B5EF4-FFF2-40B4-BE49-F238E27FC236}">
                <a16:creationId xmlns:a16="http://schemas.microsoft.com/office/drawing/2014/main" id="{00000000-0008-0000-0400-0000E3040000}"/>
              </a:ext>
            </a:extLst>
          </xdr:cNvPr>
          <xdr:cNvSpPr/>
        </xdr:nvSpPr>
        <xdr:spPr>
          <a:xfrm>
            <a:off x="139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52" name="QRIOS">
            <a:extLst>
              <a:ext uri="{FF2B5EF4-FFF2-40B4-BE49-F238E27FC236}">
                <a16:creationId xmlns:a16="http://schemas.microsoft.com/office/drawing/2014/main" id="{00000000-0008-0000-0400-0000E4040000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53" name="QRIOS">
            <a:extLst>
              <a:ext uri="{FF2B5EF4-FFF2-40B4-BE49-F238E27FC236}">
                <a16:creationId xmlns:a16="http://schemas.microsoft.com/office/drawing/2014/main" id="{00000000-0008-0000-0400-0000E5040000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54" name="QRIOS">
            <a:extLst>
              <a:ext uri="{FF2B5EF4-FFF2-40B4-BE49-F238E27FC236}">
                <a16:creationId xmlns:a16="http://schemas.microsoft.com/office/drawing/2014/main" id="{00000000-0008-0000-0400-0000E6040000}"/>
              </a:ext>
            </a:extLst>
          </xdr:cNvPr>
          <xdr:cNvSpPr/>
        </xdr:nvSpPr>
        <xdr:spPr>
          <a:xfrm>
            <a:off x="2794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55" name="QRIOS">
            <a:extLst>
              <a:ext uri="{FF2B5EF4-FFF2-40B4-BE49-F238E27FC236}">
                <a16:creationId xmlns:a16="http://schemas.microsoft.com/office/drawing/2014/main" id="{00000000-0008-0000-0400-0000E7040000}"/>
              </a:ext>
            </a:extLst>
          </xdr:cNvPr>
          <xdr:cNvSpPr/>
        </xdr:nvSpPr>
        <xdr:spPr>
          <a:xfrm>
            <a:off x="3556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56" name="QRIOS">
            <a:extLst>
              <a:ext uri="{FF2B5EF4-FFF2-40B4-BE49-F238E27FC236}">
                <a16:creationId xmlns:a16="http://schemas.microsoft.com/office/drawing/2014/main" id="{00000000-0008-0000-0400-0000E8040000}"/>
              </a:ext>
            </a:extLst>
          </xdr:cNvPr>
          <xdr:cNvSpPr/>
        </xdr:nvSpPr>
        <xdr:spPr>
          <a:xfrm>
            <a:off x="381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57" name="QRIOS">
            <a:extLst>
              <a:ext uri="{FF2B5EF4-FFF2-40B4-BE49-F238E27FC236}">
                <a16:creationId xmlns:a16="http://schemas.microsoft.com/office/drawing/2014/main" id="{00000000-0008-0000-0400-0000E9040000}"/>
              </a:ext>
            </a:extLst>
          </xdr:cNvPr>
          <xdr:cNvSpPr/>
        </xdr:nvSpPr>
        <xdr:spPr>
          <a:xfrm>
            <a:off x="393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58" name="QRIOS">
            <a:extLst>
              <a:ext uri="{FF2B5EF4-FFF2-40B4-BE49-F238E27FC236}">
                <a16:creationId xmlns:a16="http://schemas.microsoft.com/office/drawing/2014/main" id="{00000000-0008-0000-0400-0000EA040000}"/>
              </a:ext>
            </a:extLst>
          </xdr:cNvPr>
          <xdr:cNvSpPr/>
        </xdr:nvSpPr>
        <xdr:spPr>
          <a:xfrm>
            <a:off x="4064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59" name="QRIOS">
            <a:extLst>
              <a:ext uri="{FF2B5EF4-FFF2-40B4-BE49-F238E27FC236}">
                <a16:creationId xmlns:a16="http://schemas.microsoft.com/office/drawing/2014/main" id="{00000000-0008-0000-0400-0000EB040000}"/>
              </a:ext>
            </a:extLst>
          </xdr:cNvPr>
          <xdr:cNvSpPr/>
        </xdr:nvSpPr>
        <xdr:spPr>
          <a:xfrm>
            <a:off x="4191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60" name="QRIOS">
            <a:extLst>
              <a:ext uri="{FF2B5EF4-FFF2-40B4-BE49-F238E27FC236}">
                <a16:creationId xmlns:a16="http://schemas.microsoft.com/office/drawing/2014/main" id="{00000000-0008-0000-0400-0000EC040000}"/>
              </a:ext>
            </a:extLst>
          </xdr:cNvPr>
          <xdr:cNvSpPr/>
        </xdr:nvSpPr>
        <xdr:spPr>
          <a:xfrm>
            <a:off x="4699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61" name="QRIOS">
            <a:extLst>
              <a:ext uri="{FF2B5EF4-FFF2-40B4-BE49-F238E27FC236}">
                <a16:creationId xmlns:a16="http://schemas.microsoft.com/office/drawing/2014/main" id="{00000000-0008-0000-0400-0000ED040000}"/>
              </a:ext>
            </a:extLst>
          </xdr:cNvPr>
          <xdr:cNvSpPr/>
        </xdr:nvSpPr>
        <xdr:spPr>
          <a:xfrm>
            <a:off x="4953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62" name="QRIOS">
            <a:extLst>
              <a:ext uri="{FF2B5EF4-FFF2-40B4-BE49-F238E27FC236}">
                <a16:creationId xmlns:a16="http://schemas.microsoft.com/office/drawing/2014/main" id="{00000000-0008-0000-0400-0000EE040000}"/>
              </a:ext>
            </a:extLst>
          </xdr:cNvPr>
          <xdr:cNvSpPr/>
        </xdr:nvSpPr>
        <xdr:spPr>
          <a:xfrm>
            <a:off x="508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63" name="QRIOS">
            <a:extLst>
              <a:ext uri="{FF2B5EF4-FFF2-40B4-BE49-F238E27FC236}">
                <a16:creationId xmlns:a16="http://schemas.microsoft.com/office/drawing/2014/main" id="{00000000-0008-0000-0400-0000EF040000}"/>
              </a:ext>
            </a:extLst>
          </xdr:cNvPr>
          <xdr:cNvSpPr/>
        </xdr:nvSpPr>
        <xdr:spPr>
          <a:xfrm>
            <a:off x="127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64" name="QRIOS">
            <a:extLst>
              <a:ext uri="{FF2B5EF4-FFF2-40B4-BE49-F238E27FC236}">
                <a16:creationId xmlns:a16="http://schemas.microsoft.com/office/drawing/2014/main" id="{00000000-0008-0000-0400-0000F0040000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65" name="QRIOS">
            <a:extLst>
              <a:ext uri="{FF2B5EF4-FFF2-40B4-BE49-F238E27FC236}">
                <a16:creationId xmlns:a16="http://schemas.microsoft.com/office/drawing/2014/main" id="{00000000-0008-0000-0400-0000F1040000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66" name="QRIOS">
            <a:extLst>
              <a:ext uri="{FF2B5EF4-FFF2-40B4-BE49-F238E27FC236}">
                <a16:creationId xmlns:a16="http://schemas.microsoft.com/office/drawing/2014/main" id="{00000000-0008-0000-0400-0000F2040000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67" name="QRIOS">
            <a:extLst>
              <a:ext uri="{FF2B5EF4-FFF2-40B4-BE49-F238E27FC236}">
                <a16:creationId xmlns:a16="http://schemas.microsoft.com/office/drawing/2014/main" id="{00000000-0008-0000-0400-0000F3040000}"/>
              </a:ext>
            </a:extLst>
          </xdr:cNvPr>
          <xdr:cNvSpPr/>
        </xdr:nvSpPr>
        <xdr:spPr>
          <a:xfrm>
            <a:off x="1397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68" name="QRIOS">
            <a:extLst>
              <a:ext uri="{FF2B5EF4-FFF2-40B4-BE49-F238E27FC236}">
                <a16:creationId xmlns:a16="http://schemas.microsoft.com/office/drawing/2014/main" id="{00000000-0008-0000-0400-0000F4040000}"/>
              </a:ext>
            </a:extLst>
          </xdr:cNvPr>
          <xdr:cNvSpPr/>
        </xdr:nvSpPr>
        <xdr:spPr>
          <a:xfrm>
            <a:off x="152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69" name="QRIOS">
            <a:extLst>
              <a:ext uri="{FF2B5EF4-FFF2-40B4-BE49-F238E27FC236}">
                <a16:creationId xmlns:a16="http://schemas.microsoft.com/office/drawing/2014/main" id="{00000000-0008-0000-0400-0000F5040000}"/>
              </a:ext>
            </a:extLst>
          </xdr:cNvPr>
          <xdr:cNvSpPr/>
        </xdr:nvSpPr>
        <xdr:spPr>
          <a:xfrm>
            <a:off x="1905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70" name="QRIOS">
            <a:extLst>
              <a:ext uri="{FF2B5EF4-FFF2-40B4-BE49-F238E27FC236}">
                <a16:creationId xmlns:a16="http://schemas.microsoft.com/office/drawing/2014/main" id="{00000000-0008-0000-0400-0000F6040000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71" name="QRIOS">
            <a:extLst>
              <a:ext uri="{FF2B5EF4-FFF2-40B4-BE49-F238E27FC236}">
                <a16:creationId xmlns:a16="http://schemas.microsoft.com/office/drawing/2014/main" id="{00000000-0008-0000-0400-0000F7040000}"/>
              </a:ext>
            </a:extLst>
          </xdr:cNvPr>
          <xdr:cNvSpPr/>
        </xdr:nvSpPr>
        <xdr:spPr>
          <a:xfrm>
            <a:off x="2667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72" name="QRIOS">
            <a:extLst>
              <a:ext uri="{FF2B5EF4-FFF2-40B4-BE49-F238E27FC236}">
                <a16:creationId xmlns:a16="http://schemas.microsoft.com/office/drawing/2014/main" id="{00000000-0008-0000-0400-0000F8040000}"/>
              </a:ext>
            </a:extLst>
          </xdr:cNvPr>
          <xdr:cNvSpPr/>
        </xdr:nvSpPr>
        <xdr:spPr>
          <a:xfrm>
            <a:off x="292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73" name="QRIOS">
            <a:extLst>
              <a:ext uri="{FF2B5EF4-FFF2-40B4-BE49-F238E27FC236}">
                <a16:creationId xmlns:a16="http://schemas.microsoft.com/office/drawing/2014/main" id="{00000000-0008-0000-0400-0000F9040000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74" name="QRIOS">
            <a:extLst>
              <a:ext uri="{FF2B5EF4-FFF2-40B4-BE49-F238E27FC236}">
                <a16:creationId xmlns:a16="http://schemas.microsoft.com/office/drawing/2014/main" id="{00000000-0008-0000-0400-0000FA040000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75" name="QRIOS">
            <a:extLst>
              <a:ext uri="{FF2B5EF4-FFF2-40B4-BE49-F238E27FC236}">
                <a16:creationId xmlns:a16="http://schemas.microsoft.com/office/drawing/2014/main" id="{00000000-0008-0000-0400-0000FB040000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76" name="QRIOS">
            <a:extLst>
              <a:ext uri="{FF2B5EF4-FFF2-40B4-BE49-F238E27FC236}">
                <a16:creationId xmlns:a16="http://schemas.microsoft.com/office/drawing/2014/main" id="{00000000-0008-0000-0400-0000FC040000}"/>
              </a:ext>
            </a:extLst>
          </xdr:cNvPr>
          <xdr:cNvSpPr/>
        </xdr:nvSpPr>
        <xdr:spPr>
          <a:xfrm>
            <a:off x="3556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77" name="QRIOS">
            <a:extLst>
              <a:ext uri="{FF2B5EF4-FFF2-40B4-BE49-F238E27FC236}">
                <a16:creationId xmlns:a16="http://schemas.microsoft.com/office/drawing/2014/main" id="{00000000-0008-0000-0400-0000FD040000}"/>
              </a:ext>
            </a:extLst>
          </xdr:cNvPr>
          <xdr:cNvSpPr/>
        </xdr:nvSpPr>
        <xdr:spPr>
          <a:xfrm>
            <a:off x="3683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78" name="QRIOS">
            <a:extLst>
              <a:ext uri="{FF2B5EF4-FFF2-40B4-BE49-F238E27FC236}">
                <a16:creationId xmlns:a16="http://schemas.microsoft.com/office/drawing/2014/main" id="{00000000-0008-0000-0400-0000FE040000}"/>
              </a:ext>
            </a:extLst>
          </xdr:cNvPr>
          <xdr:cNvSpPr/>
        </xdr:nvSpPr>
        <xdr:spPr>
          <a:xfrm>
            <a:off x="431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79" name="QRIOS">
            <a:extLst>
              <a:ext uri="{FF2B5EF4-FFF2-40B4-BE49-F238E27FC236}">
                <a16:creationId xmlns:a16="http://schemas.microsoft.com/office/drawing/2014/main" id="{00000000-0008-0000-0400-0000FF040000}"/>
              </a:ext>
            </a:extLst>
          </xdr:cNvPr>
          <xdr:cNvSpPr/>
        </xdr:nvSpPr>
        <xdr:spPr>
          <a:xfrm>
            <a:off x="457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80" name="QRIOS">
            <a:extLst>
              <a:ext uri="{FF2B5EF4-FFF2-40B4-BE49-F238E27FC236}">
                <a16:creationId xmlns:a16="http://schemas.microsoft.com/office/drawing/2014/main" id="{00000000-0008-0000-0400-000000050000}"/>
              </a:ext>
            </a:extLst>
          </xdr:cNvPr>
          <xdr:cNvSpPr/>
        </xdr:nvSpPr>
        <xdr:spPr>
          <a:xfrm>
            <a:off x="4953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81" name="QRIOS">
            <a:extLst>
              <a:ext uri="{FF2B5EF4-FFF2-40B4-BE49-F238E27FC236}">
                <a16:creationId xmlns:a16="http://schemas.microsoft.com/office/drawing/2014/main" id="{00000000-0008-0000-0400-000001050000}"/>
              </a:ext>
            </a:extLst>
          </xdr:cNvPr>
          <xdr:cNvSpPr/>
        </xdr:nvSpPr>
        <xdr:spPr>
          <a:xfrm>
            <a:off x="5080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82" name="QRIOS">
            <a:extLst>
              <a:ext uri="{FF2B5EF4-FFF2-40B4-BE49-F238E27FC236}">
                <a16:creationId xmlns:a16="http://schemas.microsoft.com/office/drawing/2014/main" id="{00000000-0008-0000-0400-000002050000}"/>
              </a:ext>
            </a:extLst>
          </xdr:cNvPr>
          <xdr:cNvSpPr/>
        </xdr:nvSpPr>
        <xdr:spPr>
          <a:xfrm>
            <a:off x="127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83" name="QRIOS">
            <a:extLst>
              <a:ext uri="{FF2B5EF4-FFF2-40B4-BE49-F238E27FC236}">
                <a16:creationId xmlns:a16="http://schemas.microsoft.com/office/drawing/2014/main" id="{00000000-0008-0000-0400-000003050000}"/>
              </a:ext>
            </a:extLst>
          </xdr:cNvPr>
          <xdr:cNvSpPr/>
        </xdr:nvSpPr>
        <xdr:spPr>
          <a:xfrm>
            <a:off x="254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84" name="QRIOS">
            <a:extLst>
              <a:ext uri="{FF2B5EF4-FFF2-40B4-BE49-F238E27FC236}">
                <a16:creationId xmlns:a16="http://schemas.microsoft.com/office/drawing/2014/main" id="{00000000-0008-0000-0400-000004050000}"/>
              </a:ext>
            </a:extLst>
          </xdr:cNvPr>
          <xdr:cNvSpPr/>
        </xdr:nvSpPr>
        <xdr:spPr>
          <a:xfrm>
            <a:off x="38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85" name="QRIOS">
            <a:extLst>
              <a:ext uri="{FF2B5EF4-FFF2-40B4-BE49-F238E27FC236}">
                <a16:creationId xmlns:a16="http://schemas.microsoft.com/office/drawing/2014/main" id="{00000000-0008-0000-0400-000005050000}"/>
              </a:ext>
            </a:extLst>
          </xdr:cNvPr>
          <xdr:cNvSpPr/>
        </xdr:nvSpPr>
        <xdr:spPr>
          <a:xfrm>
            <a:off x="635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86" name="QRIOS">
            <a:extLst>
              <a:ext uri="{FF2B5EF4-FFF2-40B4-BE49-F238E27FC236}">
                <a16:creationId xmlns:a16="http://schemas.microsoft.com/office/drawing/2014/main" id="{00000000-0008-0000-0400-000006050000}"/>
              </a:ext>
            </a:extLst>
          </xdr:cNvPr>
          <xdr:cNvSpPr/>
        </xdr:nvSpPr>
        <xdr:spPr>
          <a:xfrm>
            <a:off x="889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87" name="QRIOS">
            <a:extLst>
              <a:ext uri="{FF2B5EF4-FFF2-40B4-BE49-F238E27FC236}">
                <a16:creationId xmlns:a16="http://schemas.microsoft.com/office/drawing/2014/main" id="{00000000-0008-0000-0400-000007050000}"/>
              </a:ext>
            </a:extLst>
          </xdr:cNvPr>
          <xdr:cNvSpPr/>
        </xdr:nvSpPr>
        <xdr:spPr>
          <a:xfrm>
            <a:off x="2032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88" name="QRIOS">
            <a:extLst>
              <a:ext uri="{FF2B5EF4-FFF2-40B4-BE49-F238E27FC236}">
                <a16:creationId xmlns:a16="http://schemas.microsoft.com/office/drawing/2014/main" id="{00000000-0008-0000-0400-000008050000}"/>
              </a:ext>
            </a:extLst>
          </xdr:cNvPr>
          <xdr:cNvSpPr/>
        </xdr:nvSpPr>
        <xdr:spPr>
          <a:xfrm>
            <a:off x="2159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89" name="QRIOS">
            <a:extLst>
              <a:ext uri="{FF2B5EF4-FFF2-40B4-BE49-F238E27FC236}">
                <a16:creationId xmlns:a16="http://schemas.microsoft.com/office/drawing/2014/main" id="{00000000-0008-0000-0400-000009050000}"/>
              </a:ext>
            </a:extLst>
          </xdr:cNvPr>
          <xdr:cNvSpPr/>
        </xdr:nvSpPr>
        <xdr:spPr>
          <a:xfrm>
            <a:off x="228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90" name="QRIOS">
            <a:extLst>
              <a:ext uri="{FF2B5EF4-FFF2-40B4-BE49-F238E27FC236}">
                <a16:creationId xmlns:a16="http://schemas.microsoft.com/office/drawing/2014/main" id="{00000000-0008-0000-0400-00000A050000}"/>
              </a:ext>
            </a:extLst>
          </xdr:cNvPr>
          <xdr:cNvSpPr/>
        </xdr:nvSpPr>
        <xdr:spPr>
          <a:xfrm>
            <a:off x="2540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91" name="QRIOS">
            <a:extLst>
              <a:ext uri="{FF2B5EF4-FFF2-40B4-BE49-F238E27FC236}">
                <a16:creationId xmlns:a16="http://schemas.microsoft.com/office/drawing/2014/main" id="{00000000-0008-0000-0400-00000B050000}"/>
              </a:ext>
            </a:extLst>
          </xdr:cNvPr>
          <xdr:cNvSpPr/>
        </xdr:nvSpPr>
        <xdr:spPr>
          <a:xfrm>
            <a:off x="2794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92" name="QRIOS">
            <a:extLst>
              <a:ext uri="{FF2B5EF4-FFF2-40B4-BE49-F238E27FC236}">
                <a16:creationId xmlns:a16="http://schemas.microsoft.com/office/drawing/2014/main" id="{00000000-0008-0000-0400-00000C050000}"/>
              </a:ext>
            </a:extLst>
          </xdr:cNvPr>
          <xdr:cNvSpPr/>
        </xdr:nvSpPr>
        <xdr:spPr>
          <a:xfrm>
            <a:off x="3048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93" name="QRIOS">
            <a:extLst>
              <a:ext uri="{FF2B5EF4-FFF2-40B4-BE49-F238E27FC236}">
                <a16:creationId xmlns:a16="http://schemas.microsoft.com/office/drawing/2014/main" id="{00000000-0008-0000-0400-00000D050000}"/>
              </a:ext>
            </a:extLst>
          </xdr:cNvPr>
          <xdr:cNvSpPr/>
        </xdr:nvSpPr>
        <xdr:spPr>
          <a:xfrm>
            <a:off x="355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94" name="QRIOS">
            <a:extLst>
              <a:ext uri="{FF2B5EF4-FFF2-40B4-BE49-F238E27FC236}">
                <a16:creationId xmlns:a16="http://schemas.microsoft.com/office/drawing/2014/main" id="{00000000-0008-0000-0400-00000E050000}"/>
              </a:ext>
            </a:extLst>
          </xdr:cNvPr>
          <xdr:cNvSpPr/>
        </xdr:nvSpPr>
        <xdr:spPr>
          <a:xfrm>
            <a:off x="3683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95" name="QRIOS">
            <a:extLst>
              <a:ext uri="{FF2B5EF4-FFF2-40B4-BE49-F238E27FC236}">
                <a16:creationId xmlns:a16="http://schemas.microsoft.com/office/drawing/2014/main" id="{00000000-0008-0000-0400-00000F050000}"/>
              </a:ext>
            </a:extLst>
          </xdr:cNvPr>
          <xdr:cNvSpPr/>
        </xdr:nvSpPr>
        <xdr:spPr>
          <a:xfrm>
            <a:off x="3937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96" name="QRIOS">
            <a:extLst>
              <a:ext uri="{FF2B5EF4-FFF2-40B4-BE49-F238E27FC236}">
                <a16:creationId xmlns:a16="http://schemas.microsoft.com/office/drawing/2014/main" id="{00000000-0008-0000-0400-000010050000}"/>
              </a:ext>
            </a:extLst>
          </xdr:cNvPr>
          <xdr:cNvSpPr/>
        </xdr:nvSpPr>
        <xdr:spPr>
          <a:xfrm>
            <a:off x="4064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97" name="QRIOS">
            <a:extLst>
              <a:ext uri="{FF2B5EF4-FFF2-40B4-BE49-F238E27FC236}">
                <a16:creationId xmlns:a16="http://schemas.microsoft.com/office/drawing/2014/main" id="{00000000-0008-0000-0400-000011050000}"/>
              </a:ext>
            </a:extLst>
          </xdr:cNvPr>
          <xdr:cNvSpPr/>
        </xdr:nvSpPr>
        <xdr:spPr>
          <a:xfrm>
            <a:off x="4318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98" name="QRIOS">
            <a:extLst>
              <a:ext uri="{FF2B5EF4-FFF2-40B4-BE49-F238E27FC236}">
                <a16:creationId xmlns:a16="http://schemas.microsoft.com/office/drawing/2014/main" id="{00000000-0008-0000-0400-000012050000}"/>
              </a:ext>
            </a:extLst>
          </xdr:cNvPr>
          <xdr:cNvSpPr/>
        </xdr:nvSpPr>
        <xdr:spPr>
          <a:xfrm>
            <a:off x="4445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99" name="QRIOS">
            <a:extLst>
              <a:ext uri="{FF2B5EF4-FFF2-40B4-BE49-F238E27FC236}">
                <a16:creationId xmlns:a16="http://schemas.microsoft.com/office/drawing/2014/main" id="{00000000-0008-0000-0400-000013050000}"/>
              </a:ext>
            </a:extLst>
          </xdr:cNvPr>
          <xdr:cNvSpPr/>
        </xdr:nvSpPr>
        <xdr:spPr>
          <a:xfrm>
            <a:off x="4699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00" name="QRIOS">
            <a:extLst>
              <a:ext uri="{FF2B5EF4-FFF2-40B4-BE49-F238E27FC236}">
                <a16:creationId xmlns:a16="http://schemas.microsoft.com/office/drawing/2014/main" id="{00000000-0008-0000-0400-000014050000}"/>
              </a:ext>
            </a:extLst>
          </xdr:cNvPr>
          <xdr:cNvSpPr/>
        </xdr:nvSpPr>
        <xdr:spPr>
          <a:xfrm>
            <a:off x="482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01" name="QRIOS">
            <a:extLst>
              <a:ext uri="{FF2B5EF4-FFF2-40B4-BE49-F238E27FC236}">
                <a16:creationId xmlns:a16="http://schemas.microsoft.com/office/drawing/2014/main" id="{00000000-0008-0000-0400-000015050000}"/>
              </a:ext>
            </a:extLst>
          </xdr:cNvPr>
          <xdr:cNvSpPr/>
        </xdr:nvSpPr>
        <xdr:spPr>
          <a:xfrm>
            <a:off x="5080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02" name="QRIOS">
            <a:extLst>
              <a:ext uri="{FF2B5EF4-FFF2-40B4-BE49-F238E27FC236}">
                <a16:creationId xmlns:a16="http://schemas.microsoft.com/office/drawing/2014/main" id="{00000000-0008-0000-0400-000016050000}"/>
              </a:ext>
            </a:extLst>
          </xdr:cNvPr>
          <xdr:cNvSpPr/>
        </xdr:nvSpPr>
        <xdr:spPr>
          <a:xfrm>
            <a:off x="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03" name="QRIOS">
            <a:extLst>
              <a:ext uri="{FF2B5EF4-FFF2-40B4-BE49-F238E27FC236}">
                <a16:creationId xmlns:a16="http://schemas.microsoft.com/office/drawing/2014/main" id="{00000000-0008-0000-0400-000017050000}"/>
              </a:ext>
            </a:extLst>
          </xdr:cNvPr>
          <xdr:cNvSpPr/>
        </xdr:nvSpPr>
        <xdr:spPr>
          <a:xfrm>
            <a:off x="127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04" name="QRIOS">
            <a:extLst>
              <a:ext uri="{FF2B5EF4-FFF2-40B4-BE49-F238E27FC236}">
                <a16:creationId xmlns:a16="http://schemas.microsoft.com/office/drawing/2014/main" id="{00000000-0008-0000-0400-000018050000}"/>
              </a:ext>
            </a:extLst>
          </xdr:cNvPr>
          <xdr:cNvSpPr/>
        </xdr:nvSpPr>
        <xdr:spPr>
          <a:xfrm>
            <a:off x="381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05" name="QRIOS">
            <a:extLst>
              <a:ext uri="{FF2B5EF4-FFF2-40B4-BE49-F238E27FC236}">
                <a16:creationId xmlns:a16="http://schemas.microsoft.com/office/drawing/2014/main" id="{00000000-0008-0000-0400-000019050000}"/>
              </a:ext>
            </a:extLst>
          </xdr:cNvPr>
          <xdr:cNvSpPr/>
        </xdr:nvSpPr>
        <xdr:spPr>
          <a:xfrm>
            <a:off x="50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06" name="QRIOS">
            <a:extLst>
              <a:ext uri="{FF2B5EF4-FFF2-40B4-BE49-F238E27FC236}">
                <a16:creationId xmlns:a16="http://schemas.microsoft.com/office/drawing/2014/main" id="{00000000-0008-0000-0400-00001A050000}"/>
              </a:ext>
            </a:extLst>
          </xdr:cNvPr>
          <xdr:cNvSpPr/>
        </xdr:nvSpPr>
        <xdr:spPr>
          <a:xfrm>
            <a:off x="635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07" name="QRIOS">
            <a:extLst>
              <a:ext uri="{FF2B5EF4-FFF2-40B4-BE49-F238E27FC236}">
                <a16:creationId xmlns:a16="http://schemas.microsoft.com/office/drawing/2014/main" id="{00000000-0008-0000-0400-00001B050000}"/>
              </a:ext>
            </a:extLst>
          </xdr:cNvPr>
          <xdr:cNvSpPr/>
        </xdr:nvSpPr>
        <xdr:spPr>
          <a:xfrm>
            <a:off x="76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08" name="QRIOS">
            <a:extLst>
              <a:ext uri="{FF2B5EF4-FFF2-40B4-BE49-F238E27FC236}">
                <a16:creationId xmlns:a16="http://schemas.microsoft.com/office/drawing/2014/main" id="{00000000-0008-0000-0400-00001C050000}"/>
              </a:ext>
            </a:extLst>
          </xdr:cNvPr>
          <xdr:cNvSpPr/>
        </xdr:nvSpPr>
        <xdr:spPr>
          <a:xfrm>
            <a:off x="1397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09" name="QRIOS">
            <a:extLst>
              <a:ext uri="{FF2B5EF4-FFF2-40B4-BE49-F238E27FC236}">
                <a16:creationId xmlns:a16="http://schemas.microsoft.com/office/drawing/2014/main" id="{00000000-0008-0000-0400-00001D050000}"/>
              </a:ext>
            </a:extLst>
          </xdr:cNvPr>
          <xdr:cNvSpPr/>
        </xdr:nvSpPr>
        <xdr:spPr>
          <a:xfrm>
            <a:off x="152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10" name="QRIOS">
            <a:extLst>
              <a:ext uri="{FF2B5EF4-FFF2-40B4-BE49-F238E27FC236}">
                <a16:creationId xmlns:a16="http://schemas.microsoft.com/office/drawing/2014/main" id="{00000000-0008-0000-0400-00001E050000}"/>
              </a:ext>
            </a:extLst>
          </xdr:cNvPr>
          <xdr:cNvSpPr/>
        </xdr:nvSpPr>
        <xdr:spPr>
          <a:xfrm>
            <a:off x="1651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11" name="QRIOS">
            <a:extLst>
              <a:ext uri="{FF2B5EF4-FFF2-40B4-BE49-F238E27FC236}">
                <a16:creationId xmlns:a16="http://schemas.microsoft.com/office/drawing/2014/main" id="{00000000-0008-0000-0400-00001F050000}"/>
              </a:ext>
            </a:extLst>
          </xdr:cNvPr>
          <xdr:cNvSpPr/>
        </xdr:nvSpPr>
        <xdr:spPr>
          <a:xfrm>
            <a:off x="177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12" name="QRIOS">
            <a:extLst>
              <a:ext uri="{FF2B5EF4-FFF2-40B4-BE49-F238E27FC236}">
                <a16:creationId xmlns:a16="http://schemas.microsoft.com/office/drawing/2014/main" id="{00000000-0008-0000-0400-000020050000}"/>
              </a:ext>
            </a:extLst>
          </xdr:cNvPr>
          <xdr:cNvSpPr/>
        </xdr:nvSpPr>
        <xdr:spPr>
          <a:xfrm>
            <a:off x="1905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13" name="QRIOS">
            <a:extLst>
              <a:ext uri="{FF2B5EF4-FFF2-40B4-BE49-F238E27FC236}">
                <a16:creationId xmlns:a16="http://schemas.microsoft.com/office/drawing/2014/main" id="{00000000-0008-0000-0400-000021050000}"/>
              </a:ext>
            </a:extLst>
          </xdr:cNvPr>
          <xdr:cNvSpPr/>
        </xdr:nvSpPr>
        <xdr:spPr>
          <a:xfrm>
            <a:off x="2286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14" name="QRIOS">
            <a:extLst>
              <a:ext uri="{FF2B5EF4-FFF2-40B4-BE49-F238E27FC236}">
                <a16:creationId xmlns:a16="http://schemas.microsoft.com/office/drawing/2014/main" id="{00000000-0008-0000-0400-000022050000}"/>
              </a:ext>
            </a:extLst>
          </xdr:cNvPr>
          <xdr:cNvSpPr/>
        </xdr:nvSpPr>
        <xdr:spPr>
          <a:xfrm>
            <a:off x="2413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15" name="QRIOS">
            <a:extLst>
              <a:ext uri="{FF2B5EF4-FFF2-40B4-BE49-F238E27FC236}">
                <a16:creationId xmlns:a16="http://schemas.microsoft.com/office/drawing/2014/main" id="{00000000-0008-0000-0400-000023050000}"/>
              </a:ext>
            </a:extLst>
          </xdr:cNvPr>
          <xdr:cNvSpPr/>
        </xdr:nvSpPr>
        <xdr:spPr>
          <a:xfrm>
            <a:off x="2921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16" name="QRIOS">
            <a:extLst>
              <a:ext uri="{FF2B5EF4-FFF2-40B4-BE49-F238E27FC236}">
                <a16:creationId xmlns:a16="http://schemas.microsoft.com/office/drawing/2014/main" id="{00000000-0008-0000-0400-000024050000}"/>
              </a:ext>
            </a:extLst>
          </xdr:cNvPr>
          <xdr:cNvSpPr/>
        </xdr:nvSpPr>
        <xdr:spPr>
          <a:xfrm>
            <a:off x="3175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17" name="QRIOS">
            <a:extLst>
              <a:ext uri="{FF2B5EF4-FFF2-40B4-BE49-F238E27FC236}">
                <a16:creationId xmlns:a16="http://schemas.microsoft.com/office/drawing/2014/main" id="{00000000-0008-0000-0400-000025050000}"/>
              </a:ext>
            </a:extLst>
          </xdr:cNvPr>
          <xdr:cNvSpPr/>
        </xdr:nvSpPr>
        <xdr:spPr>
          <a:xfrm>
            <a:off x="3429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18" name="QRIOS">
            <a:extLst>
              <a:ext uri="{FF2B5EF4-FFF2-40B4-BE49-F238E27FC236}">
                <a16:creationId xmlns:a16="http://schemas.microsoft.com/office/drawing/2014/main" id="{00000000-0008-0000-0400-000026050000}"/>
              </a:ext>
            </a:extLst>
          </xdr:cNvPr>
          <xdr:cNvSpPr/>
        </xdr:nvSpPr>
        <xdr:spPr>
          <a:xfrm>
            <a:off x="3937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19" name="QRIOS">
            <a:extLst>
              <a:ext uri="{FF2B5EF4-FFF2-40B4-BE49-F238E27FC236}">
                <a16:creationId xmlns:a16="http://schemas.microsoft.com/office/drawing/2014/main" id="{00000000-0008-0000-0400-000027050000}"/>
              </a:ext>
            </a:extLst>
          </xdr:cNvPr>
          <xdr:cNvSpPr/>
        </xdr:nvSpPr>
        <xdr:spPr>
          <a:xfrm>
            <a:off x="4191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20" name="QRIOS">
            <a:extLst>
              <a:ext uri="{FF2B5EF4-FFF2-40B4-BE49-F238E27FC236}">
                <a16:creationId xmlns:a16="http://schemas.microsoft.com/office/drawing/2014/main" id="{00000000-0008-0000-0400-000028050000}"/>
              </a:ext>
            </a:extLst>
          </xdr:cNvPr>
          <xdr:cNvSpPr/>
        </xdr:nvSpPr>
        <xdr:spPr>
          <a:xfrm>
            <a:off x="431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21" name="QRIOS">
            <a:extLst>
              <a:ext uri="{FF2B5EF4-FFF2-40B4-BE49-F238E27FC236}">
                <a16:creationId xmlns:a16="http://schemas.microsoft.com/office/drawing/2014/main" id="{00000000-0008-0000-0400-000029050000}"/>
              </a:ext>
            </a:extLst>
          </xdr:cNvPr>
          <xdr:cNvSpPr/>
        </xdr:nvSpPr>
        <xdr:spPr>
          <a:xfrm>
            <a:off x="508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22" name="QRIOS">
            <a:extLst>
              <a:ext uri="{FF2B5EF4-FFF2-40B4-BE49-F238E27FC236}">
                <a16:creationId xmlns:a16="http://schemas.microsoft.com/office/drawing/2014/main" id="{00000000-0008-0000-0400-00002A050000}"/>
              </a:ext>
            </a:extLst>
          </xdr:cNvPr>
          <xdr:cNvSpPr/>
        </xdr:nvSpPr>
        <xdr:spPr>
          <a:xfrm>
            <a:off x="254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23" name="QRIOS">
            <a:extLst>
              <a:ext uri="{FF2B5EF4-FFF2-40B4-BE49-F238E27FC236}">
                <a16:creationId xmlns:a16="http://schemas.microsoft.com/office/drawing/2014/main" id="{00000000-0008-0000-0400-00002B050000}"/>
              </a:ext>
            </a:extLst>
          </xdr:cNvPr>
          <xdr:cNvSpPr/>
        </xdr:nvSpPr>
        <xdr:spPr>
          <a:xfrm>
            <a:off x="381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24" name="QRIOS">
            <a:extLst>
              <a:ext uri="{FF2B5EF4-FFF2-40B4-BE49-F238E27FC236}">
                <a16:creationId xmlns:a16="http://schemas.microsoft.com/office/drawing/2014/main" id="{00000000-0008-0000-0400-00002C050000}"/>
              </a:ext>
            </a:extLst>
          </xdr:cNvPr>
          <xdr:cNvSpPr/>
        </xdr:nvSpPr>
        <xdr:spPr>
          <a:xfrm>
            <a:off x="508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25" name="QRIOS">
            <a:extLst>
              <a:ext uri="{FF2B5EF4-FFF2-40B4-BE49-F238E27FC236}">
                <a16:creationId xmlns:a16="http://schemas.microsoft.com/office/drawing/2014/main" id="{00000000-0008-0000-0400-00002D050000}"/>
              </a:ext>
            </a:extLst>
          </xdr:cNvPr>
          <xdr:cNvSpPr/>
        </xdr:nvSpPr>
        <xdr:spPr>
          <a:xfrm>
            <a:off x="635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26" name="QRIOS">
            <a:extLst>
              <a:ext uri="{FF2B5EF4-FFF2-40B4-BE49-F238E27FC236}">
                <a16:creationId xmlns:a16="http://schemas.microsoft.com/office/drawing/2014/main" id="{00000000-0008-0000-0400-00002E050000}"/>
              </a:ext>
            </a:extLst>
          </xdr:cNvPr>
          <xdr:cNvSpPr/>
        </xdr:nvSpPr>
        <xdr:spPr>
          <a:xfrm>
            <a:off x="889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27" name="QRIOS">
            <a:extLst>
              <a:ext uri="{FF2B5EF4-FFF2-40B4-BE49-F238E27FC236}">
                <a16:creationId xmlns:a16="http://schemas.microsoft.com/office/drawing/2014/main" id="{00000000-0008-0000-0400-00002F050000}"/>
              </a:ext>
            </a:extLst>
          </xdr:cNvPr>
          <xdr:cNvSpPr/>
        </xdr:nvSpPr>
        <xdr:spPr>
          <a:xfrm>
            <a:off x="1143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28" name="QRIOS">
            <a:extLst>
              <a:ext uri="{FF2B5EF4-FFF2-40B4-BE49-F238E27FC236}">
                <a16:creationId xmlns:a16="http://schemas.microsoft.com/office/drawing/2014/main" id="{00000000-0008-0000-0400-000030050000}"/>
              </a:ext>
            </a:extLst>
          </xdr:cNvPr>
          <xdr:cNvSpPr/>
        </xdr:nvSpPr>
        <xdr:spPr>
          <a:xfrm>
            <a:off x="1270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29" name="QRIOS">
            <a:extLst>
              <a:ext uri="{FF2B5EF4-FFF2-40B4-BE49-F238E27FC236}">
                <a16:creationId xmlns:a16="http://schemas.microsoft.com/office/drawing/2014/main" id="{00000000-0008-0000-0400-000031050000}"/>
              </a:ext>
            </a:extLst>
          </xdr:cNvPr>
          <xdr:cNvSpPr/>
        </xdr:nvSpPr>
        <xdr:spPr>
          <a:xfrm>
            <a:off x="1524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30" name="QRIOS">
            <a:extLst>
              <a:ext uri="{FF2B5EF4-FFF2-40B4-BE49-F238E27FC236}">
                <a16:creationId xmlns:a16="http://schemas.microsoft.com/office/drawing/2014/main" id="{00000000-0008-0000-0400-000032050000}"/>
              </a:ext>
            </a:extLst>
          </xdr:cNvPr>
          <xdr:cNvSpPr/>
        </xdr:nvSpPr>
        <xdr:spPr>
          <a:xfrm>
            <a:off x="1778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31" name="QRIOS">
            <a:extLst>
              <a:ext uri="{FF2B5EF4-FFF2-40B4-BE49-F238E27FC236}">
                <a16:creationId xmlns:a16="http://schemas.microsoft.com/office/drawing/2014/main" id="{00000000-0008-0000-0400-000033050000}"/>
              </a:ext>
            </a:extLst>
          </xdr:cNvPr>
          <xdr:cNvSpPr/>
        </xdr:nvSpPr>
        <xdr:spPr>
          <a:xfrm>
            <a:off x="2413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32" name="QRIOS">
            <a:extLst>
              <a:ext uri="{FF2B5EF4-FFF2-40B4-BE49-F238E27FC236}">
                <a16:creationId xmlns:a16="http://schemas.microsoft.com/office/drawing/2014/main" id="{00000000-0008-0000-0400-000034050000}"/>
              </a:ext>
            </a:extLst>
          </xdr:cNvPr>
          <xdr:cNvSpPr/>
        </xdr:nvSpPr>
        <xdr:spPr>
          <a:xfrm>
            <a:off x="2540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33" name="QRIOS">
            <a:extLst>
              <a:ext uri="{FF2B5EF4-FFF2-40B4-BE49-F238E27FC236}">
                <a16:creationId xmlns:a16="http://schemas.microsoft.com/office/drawing/2014/main" id="{00000000-0008-0000-0400-000035050000}"/>
              </a:ext>
            </a:extLst>
          </xdr:cNvPr>
          <xdr:cNvSpPr/>
        </xdr:nvSpPr>
        <xdr:spPr>
          <a:xfrm>
            <a:off x="2921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34" name="QRIOS">
            <a:extLst>
              <a:ext uri="{FF2B5EF4-FFF2-40B4-BE49-F238E27FC236}">
                <a16:creationId xmlns:a16="http://schemas.microsoft.com/office/drawing/2014/main" id="{00000000-0008-0000-0400-000036050000}"/>
              </a:ext>
            </a:extLst>
          </xdr:cNvPr>
          <xdr:cNvSpPr/>
        </xdr:nvSpPr>
        <xdr:spPr>
          <a:xfrm>
            <a:off x="3048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35" name="QRIOS">
            <a:extLst>
              <a:ext uri="{FF2B5EF4-FFF2-40B4-BE49-F238E27FC236}">
                <a16:creationId xmlns:a16="http://schemas.microsoft.com/office/drawing/2014/main" id="{00000000-0008-0000-0400-000037050000}"/>
              </a:ext>
            </a:extLst>
          </xdr:cNvPr>
          <xdr:cNvSpPr/>
        </xdr:nvSpPr>
        <xdr:spPr>
          <a:xfrm>
            <a:off x="3429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36" name="QRIOS">
            <a:extLst>
              <a:ext uri="{FF2B5EF4-FFF2-40B4-BE49-F238E27FC236}">
                <a16:creationId xmlns:a16="http://schemas.microsoft.com/office/drawing/2014/main" id="{00000000-0008-0000-0400-000038050000}"/>
              </a:ext>
            </a:extLst>
          </xdr:cNvPr>
          <xdr:cNvSpPr/>
        </xdr:nvSpPr>
        <xdr:spPr>
          <a:xfrm>
            <a:off x="3810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37" name="QRIOS">
            <a:extLst>
              <a:ext uri="{FF2B5EF4-FFF2-40B4-BE49-F238E27FC236}">
                <a16:creationId xmlns:a16="http://schemas.microsoft.com/office/drawing/2014/main" id="{00000000-0008-0000-0400-000039050000}"/>
              </a:ext>
            </a:extLst>
          </xdr:cNvPr>
          <xdr:cNvSpPr/>
        </xdr:nvSpPr>
        <xdr:spPr>
          <a:xfrm>
            <a:off x="4064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38" name="QRIOS">
            <a:extLst>
              <a:ext uri="{FF2B5EF4-FFF2-40B4-BE49-F238E27FC236}">
                <a16:creationId xmlns:a16="http://schemas.microsoft.com/office/drawing/2014/main" id="{00000000-0008-0000-0400-00003A050000}"/>
              </a:ext>
            </a:extLst>
          </xdr:cNvPr>
          <xdr:cNvSpPr/>
        </xdr:nvSpPr>
        <xdr:spPr>
          <a:xfrm>
            <a:off x="4191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39" name="QRIOS">
            <a:extLst>
              <a:ext uri="{FF2B5EF4-FFF2-40B4-BE49-F238E27FC236}">
                <a16:creationId xmlns:a16="http://schemas.microsoft.com/office/drawing/2014/main" id="{00000000-0008-0000-0400-00003B050000}"/>
              </a:ext>
            </a:extLst>
          </xdr:cNvPr>
          <xdr:cNvSpPr/>
        </xdr:nvSpPr>
        <xdr:spPr>
          <a:xfrm>
            <a:off x="4318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40" name="QRIOS">
            <a:extLst>
              <a:ext uri="{FF2B5EF4-FFF2-40B4-BE49-F238E27FC236}">
                <a16:creationId xmlns:a16="http://schemas.microsoft.com/office/drawing/2014/main" id="{00000000-0008-0000-0400-00003C050000}"/>
              </a:ext>
            </a:extLst>
          </xdr:cNvPr>
          <xdr:cNvSpPr/>
        </xdr:nvSpPr>
        <xdr:spPr>
          <a:xfrm>
            <a:off x="4445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41" name="QRIOS">
            <a:extLst>
              <a:ext uri="{FF2B5EF4-FFF2-40B4-BE49-F238E27FC236}">
                <a16:creationId xmlns:a16="http://schemas.microsoft.com/office/drawing/2014/main" id="{00000000-0008-0000-0400-00003D050000}"/>
              </a:ext>
            </a:extLst>
          </xdr:cNvPr>
          <xdr:cNvSpPr/>
        </xdr:nvSpPr>
        <xdr:spPr>
          <a:xfrm>
            <a:off x="4572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42" name="QRIOS">
            <a:extLst>
              <a:ext uri="{FF2B5EF4-FFF2-40B4-BE49-F238E27FC236}">
                <a16:creationId xmlns:a16="http://schemas.microsoft.com/office/drawing/2014/main" id="{00000000-0008-0000-0400-00003E050000}"/>
              </a:ext>
            </a:extLst>
          </xdr:cNvPr>
          <xdr:cNvSpPr/>
        </xdr:nvSpPr>
        <xdr:spPr>
          <a:xfrm>
            <a:off x="4699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43" name="QRIOS">
            <a:extLst>
              <a:ext uri="{FF2B5EF4-FFF2-40B4-BE49-F238E27FC236}">
                <a16:creationId xmlns:a16="http://schemas.microsoft.com/office/drawing/2014/main" id="{00000000-0008-0000-0400-00003F050000}"/>
              </a:ext>
            </a:extLst>
          </xdr:cNvPr>
          <xdr:cNvSpPr/>
        </xdr:nvSpPr>
        <xdr:spPr>
          <a:xfrm>
            <a:off x="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44" name="QRIOS">
            <a:extLst>
              <a:ext uri="{FF2B5EF4-FFF2-40B4-BE49-F238E27FC236}">
                <a16:creationId xmlns:a16="http://schemas.microsoft.com/office/drawing/2014/main" id="{00000000-0008-0000-0400-000040050000}"/>
              </a:ext>
            </a:extLst>
          </xdr:cNvPr>
          <xdr:cNvSpPr/>
        </xdr:nvSpPr>
        <xdr:spPr>
          <a:xfrm>
            <a:off x="12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45" name="QRIOS">
            <a:extLst>
              <a:ext uri="{FF2B5EF4-FFF2-40B4-BE49-F238E27FC236}">
                <a16:creationId xmlns:a16="http://schemas.microsoft.com/office/drawing/2014/main" id="{00000000-0008-0000-0400-000041050000}"/>
              </a:ext>
            </a:extLst>
          </xdr:cNvPr>
          <xdr:cNvSpPr/>
        </xdr:nvSpPr>
        <xdr:spPr>
          <a:xfrm>
            <a:off x="38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46" name="QRIOS">
            <a:extLst>
              <a:ext uri="{FF2B5EF4-FFF2-40B4-BE49-F238E27FC236}">
                <a16:creationId xmlns:a16="http://schemas.microsoft.com/office/drawing/2014/main" id="{00000000-0008-0000-0400-000042050000}"/>
              </a:ext>
            </a:extLst>
          </xdr:cNvPr>
          <xdr:cNvSpPr/>
        </xdr:nvSpPr>
        <xdr:spPr>
          <a:xfrm>
            <a:off x="50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47" name="QRIOS">
            <a:extLst>
              <a:ext uri="{FF2B5EF4-FFF2-40B4-BE49-F238E27FC236}">
                <a16:creationId xmlns:a16="http://schemas.microsoft.com/office/drawing/2014/main" id="{00000000-0008-0000-0400-000043050000}"/>
              </a:ext>
            </a:extLst>
          </xdr:cNvPr>
          <xdr:cNvSpPr/>
        </xdr:nvSpPr>
        <xdr:spPr>
          <a:xfrm>
            <a:off x="762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48" name="QRIOS">
            <a:extLst>
              <a:ext uri="{FF2B5EF4-FFF2-40B4-BE49-F238E27FC236}">
                <a16:creationId xmlns:a16="http://schemas.microsoft.com/office/drawing/2014/main" id="{00000000-0008-0000-0400-000044050000}"/>
              </a:ext>
            </a:extLst>
          </xdr:cNvPr>
          <xdr:cNvSpPr/>
        </xdr:nvSpPr>
        <xdr:spPr>
          <a:xfrm>
            <a:off x="1143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49" name="QRIOS">
            <a:extLst>
              <a:ext uri="{FF2B5EF4-FFF2-40B4-BE49-F238E27FC236}">
                <a16:creationId xmlns:a16="http://schemas.microsoft.com/office/drawing/2014/main" id="{00000000-0008-0000-0400-000045050000}"/>
              </a:ext>
            </a:extLst>
          </xdr:cNvPr>
          <xdr:cNvSpPr/>
        </xdr:nvSpPr>
        <xdr:spPr>
          <a:xfrm>
            <a:off x="139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50" name="QRIOS">
            <a:extLst>
              <a:ext uri="{FF2B5EF4-FFF2-40B4-BE49-F238E27FC236}">
                <a16:creationId xmlns:a16="http://schemas.microsoft.com/office/drawing/2014/main" id="{00000000-0008-0000-0400-000046050000}"/>
              </a:ext>
            </a:extLst>
          </xdr:cNvPr>
          <xdr:cNvSpPr/>
        </xdr:nvSpPr>
        <xdr:spPr>
          <a:xfrm>
            <a:off x="228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51" name="QRIOS">
            <a:extLst>
              <a:ext uri="{FF2B5EF4-FFF2-40B4-BE49-F238E27FC236}">
                <a16:creationId xmlns:a16="http://schemas.microsoft.com/office/drawing/2014/main" id="{00000000-0008-0000-0400-000047050000}"/>
              </a:ext>
            </a:extLst>
          </xdr:cNvPr>
          <xdr:cNvSpPr/>
        </xdr:nvSpPr>
        <xdr:spPr>
          <a:xfrm>
            <a:off x="2540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52" name="QRIOS">
            <a:extLst>
              <a:ext uri="{FF2B5EF4-FFF2-40B4-BE49-F238E27FC236}">
                <a16:creationId xmlns:a16="http://schemas.microsoft.com/office/drawing/2014/main" id="{00000000-0008-0000-0400-000048050000}"/>
              </a:ext>
            </a:extLst>
          </xdr:cNvPr>
          <xdr:cNvSpPr/>
        </xdr:nvSpPr>
        <xdr:spPr>
          <a:xfrm>
            <a:off x="304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53" name="QRIOS">
            <a:extLst>
              <a:ext uri="{FF2B5EF4-FFF2-40B4-BE49-F238E27FC236}">
                <a16:creationId xmlns:a16="http://schemas.microsoft.com/office/drawing/2014/main" id="{00000000-0008-0000-0400-000049050000}"/>
              </a:ext>
            </a:extLst>
          </xdr:cNvPr>
          <xdr:cNvSpPr/>
        </xdr:nvSpPr>
        <xdr:spPr>
          <a:xfrm>
            <a:off x="3302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54" name="QRIOS">
            <a:extLst>
              <a:ext uri="{FF2B5EF4-FFF2-40B4-BE49-F238E27FC236}">
                <a16:creationId xmlns:a16="http://schemas.microsoft.com/office/drawing/2014/main" id="{00000000-0008-0000-0400-00004A050000}"/>
              </a:ext>
            </a:extLst>
          </xdr:cNvPr>
          <xdr:cNvSpPr/>
        </xdr:nvSpPr>
        <xdr:spPr>
          <a:xfrm>
            <a:off x="3429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55" name="QRIOS">
            <a:extLst>
              <a:ext uri="{FF2B5EF4-FFF2-40B4-BE49-F238E27FC236}">
                <a16:creationId xmlns:a16="http://schemas.microsoft.com/office/drawing/2014/main" id="{00000000-0008-0000-0400-00004B050000}"/>
              </a:ext>
            </a:extLst>
          </xdr:cNvPr>
          <xdr:cNvSpPr/>
        </xdr:nvSpPr>
        <xdr:spPr>
          <a:xfrm>
            <a:off x="355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56" name="QRIOS">
            <a:extLst>
              <a:ext uri="{FF2B5EF4-FFF2-40B4-BE49-F238E27FC236}">
                <a16:creationId xmlns:a16="http://schemas.microsoft.com/office/drawing/2014/main" id="{00000000-0008-0000-0400-00004C050000}"/>
              </a:ext>
            </a:extLst>
          </xdr:cNvPr>
          <xdr:cNvSpPr/>
        </xdr:nvSpPr>
        <xdr:spPr>
          <a:xfrm>
            <a:off x="393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57" name="QRIOS">
            <a:extLst>
              <a:ext uri="{FF2B5EF4-FFF2-40B4-BE49-F238E27FC236}">
                <a16:creationId xmlns:a16="http://schemas.microsoft.com/office/drawing/2014/main" id="{00000000-0008-0000-0400-00004D050000}"/>
              </a:ext>
            </a:extLst>
          </xdr:cNvPr>
          <xdr:cNvSpPr/>
        </xdr:nvSpPr>
        <xdr:spPr>
          <a:xfrm>
            <a:off x="406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58" name="QRIOS">
            <a:extLst>
              <a:ext uri="{FF2B5EF4-FFF2-40B4-BE49-F238E27FC236}">
                <a16:creationId xmlns:a16="http://schemas.microsoft.com/office/drawing/2014/main" id="{00000000-0008-0000-0400-00004E050000}"/>
              </a:ext>
            </a:extLst>
          </xdr:cNvPr>
          <xdr:cNvSpPr/>
        </xdr:nvSpPr>
        <xdr:spPr>
          <a:xfrm>
            <a:off x="419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59" name="QRIOS">
            <a:extLst>
              <a:ext uri="{FF2B5EF4-FFF2-40B4-BE49-F238E27FC236}">
                <a16:creationId xmlns:a16="http://schemas.microsoft.com/office/drawing/2014/main" id="{00000000-0008-0000-0400-00004F050000}"/>
              </a:ext>
            </a:extLst>
          </xdr:cNvPr>
          <xdr:cNvSpPr/>
        </xdr:nvSpPr>
        <xdr:spPr>
          <a:xfrm>
            <a:off x="431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0" name="QRIOS">
            <a:extLst>
              <a:ext uri="{FF2B5EF4-FFF2-40B4-BE49-F238E27FC236}">
                <a16:creationId xmlns:a16="http://schemas.microsoft.com/office/drawing/2014/main" id="{00000000-0008-0000-0400-000050050000}"/>
              </a:ext>
            </a:extLst>
          </xdr:cNvPr>
          <xdr:cNvSpPr/>
        </xdr:nvSpPr>
        <xdr:spPr>
          <a:xfrm>
            <a:off x="444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1" name="QRIOS">
            <a:extLst>
              <a:ext uri="{FF2B5EF4-FFF2-40B4-BE49-F238E27FC236}">
                <a16:creationId xmlns:a16="http://schemas.microsoft.com/office/drawing/2014/main" id="{00000000-0008-0000-0400-000051050000}"/>
              </a:ext>
            </a:extLst>
          </xdr:cNvPr>
          <xdr:cNvSpPr/>
        </xdr:nvSpPr>
        <xdr:spPr>
          <a:xfrm>
            <a:off x="4572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2" name="QRIOS">
            <a:extLst>
              <a:ext uri="{FF2B5EF4-FFF2-40B4-BE49-F238E27FC236}">
                <a16:creationId xmlns:a16="http://schemas.microsoft.com/office/drawing/2014/main" id="{00000000-0008-0000-0400-000052050000}"/>
              </a:ext>
            </a:extLst>
          </xdr:cNvPr>
          <xdr:cNvSpPr/>
        </xdr:nvSpPr>
        <xdr:spPr>
          <a:xfrm>
            <a:off x="4699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3" name="QRIOS">
            <a:extLst>
              <a:ext uri="{FF2B5EF4-FFF2-40B4-BE49-F238E27FC236}">
                <a16:creationId xmlns:a16="http://schemas.microsoft.com/office/drawing/2014/main" id="{00000000-0008-0000-0400-000053050000}"/>
              </a:ext>
            </a:extLst>
          </xdr:cNvPr>
          <xdr:cNvSpPr/>
        </xdr:nvSpPr>
        <xdr:spPr>
          <a:xfrm>
            <a:off x="5080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4" name="QRIOS">
            <a:extLst>
              <a:ext uri="{FF2B5EF4-FFF2-40B4-BE49-F238E27FC236}">
                <a16:creationId xmlns:a16="http://schemas.microsoft.com/office/drawing/2014/main" id="{00000000-0008-0000-0400-000054050000}"/>
              </a:ext>
            </a:extLst>
          </xdr:cNvPr>
          <xdr:cNvSpPr/>
        </xdr:nvSpPr>
        <xdr:spPr>
          <a:xfrm>
            <a:off x="1016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5" name="QRIOS">
            <a:extLst>
              <a:ext uri="{FF2B5EF4-FFF2-40B4-BE49-F238E27FC236}">
                <a16:creationId xmlns:a16="http://schemas.microsoft.com/office/drawing/2014/main" id="{00000000-0008-0000-0400-000055050000}"/>
              </a:ext>
            </a:extLst>
          </xdr:cNvPr>
          <xdr:cNvSpPr/>
        </xdr:nvSpPr>
        <xdr:spPr>
          <a:xfrm>
            <a:off x="1143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6" name="QRIOS">
            <a:extLst>
              <a:ext uri="{FF2B5EF4-FFF2-40B4-BE49-F238E27FC236}">
                <a16:creationId xmlns:a16="http://schemas.microsoft.com/office/drawing/2014/main" id="{00000000-0008-0000-0400-000056050000}"/>
              </a:ext>
            </a:extLst>
          </xdr:cNvPr>
          <xdr:cNvSpPr/>
        </xdr:nvSpPr>
        <xdr:spPr>
          <a:xfrm>
            <a:off x="1270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7" name="QRIOS">
            <a:extLst>
              <a:ext uri="{FF2B5EF4-FFF2-40B4-BE49-F238E27FC236}">
                <a16:creationId xmlns:a16="http://schemas.microsoft.com/office/drawing/2014/main" id="{00000000-0008-0000-0400-000057050000}"/>
              </a:ext>
            </a:extLst>
          </xdr:cNvPr>
          <xdr:cNvSpPr/>
        </xdr:nvSpPr>
        <xdr:spPr>
          <a:xfrm>
            <a:off x="1397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8" name="QRIOS">
            <a:extLst>
              <a:ext uri="{FF2B5EF4-FFF2-40B4-BE49-F238E27FC236}">
                <a16:creationId xmlns:a16="http://schemas.microsoft.com/office/drawing/2014/main" id="{00000000-0008-0000-0400-000058050000}"/>
              </a:ext>
            </a:extLst>
          </xdr:cNvPr>
          <xdr:cNvSpPr/>
        </xdr:nvSpPr>
        <xdr:spPr>
          <a:xfrm>
            <a:off x="1524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9" name="QRIOS">
            <a:extLst>
              <a:ext uri="{FF2B5EF4-FFF2-40B4-BE49-F238E27FC236}">
                <a16:creationId xmlns:a16="http://schemas.microsoft.com/office/drawing/2014/main" id="{00000000-0008-0000-0400-000059050000}"/>
              </a:ext>
            </a:extLst>
          </xdr:cNvPr>
          <xdr:cNvSpPr/>
        </xdr:nvSpPr>
        <xdr:spPr>
          <a:xfrm>
            <a:off x="1651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0" name="QRIOS">
            <a:extLst>
              <a:ext uri="{FF2B5EF4-FFF2-40B4-BE49-F238E27FC236}">
                <a16:creationId xmlns:a16="http://schemas.microsoft.com/office/drawing/2014/main" id="{00000000-0008-0000-0400-00005A050000}"/>
              </a:ext>
            </a:extLst>
          </xdr:cNvPr>
          <xdr:cNvSpPr/>
        </xdr:nvSpPr>
        <xdr:spPr>
          <a:xfrm>
            <a:off x="1778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1" name="QRIOS">
            <a:extLst>
              <a:ext uri="{FF2B5EF4-FFF2-40B4-BE49-F238E27FC236}">
                <a16:creationId xmlns:a16="http://schemas.microsoft.com/office/drawing/2014/main" id="{00000000-0008-0000-0400-00005B050000}"/>
              </a:ext>
            </a:extLst>
          </xdr:cNvPr>
          <xdr:cNvSpPr/>
        </xdr:nvSpPr>
        <xdr:spPr>
          <a:xfrm>
            <a:off x="1905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2" name="QRIOS">
            <a:extLst>
              <a:ext uri="{FF2B5EF4-FFF2-40B4-BE49-F238E27FC236}">
                <a16:creationId xmlns:a16="http://schemas.microsoft.com/office/drawing/2014/main" id="{00000000-0008-0000-0400-00005C050000}"/>
              </a:ext>
            </a:extLst>
          </xdr:cNvPr>
          <xdr:cNvSpPr/>
        </xdr:nvSpPr>
        <xdr:spPr>
          <a:xfrm>
            <a:off x="2032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3" name="QRIOS">
            <a:extLst>
              <a:ext uri="{FF2B5EF4-FFF2-40B4-BE49-F238E27FC236}">
                <a16:creationId xmlns:a16="http://schemas.microsoft.com/office/drawing/2014/main" id="{00000000-0008-0000-0400-00005D050000}"/>
              </a:ext>
            </a:extLst>
          </xdr:cNvPr>
          <xdr:cNvSpPr/>
        </xdr:nvSpPr>
        <xdr:spPr>
          <a:xfrm>
            <a:off x="2413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4" name="QRIOS">
            <a:extLst>
              <a:ext uri="{FF2B5EF4-FFF2-40B4-BE49-F238E27FC236}">
                <a16:creationId xmlns:a16="http://schemas.microsoft.com/office/drawing/2014/main" id="{00000000-0008-0000-0400-00005E050000}"/>
              </a:ext>
            </a:extLst>
          </xdr:cNvPr>
          <xdr:cNvSpPr/>
        </xdr:nvSpPr>
        <xdr:spPr>
          <a:xfrm>
            <a:off x="2540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5" name="QRIOS">
            <a:extLst>
              <a:ext uri="{FF2B5EF4-FFF2-40B4-BE49-F238E27FC236}">
                <a16:creationId xmlns:a16="http://schemas.microsoft.com/office/drawing/2014/main" id="{00000000-0008-0000-0400-00005F050000}"/>
              </a:ext>
            </a:extLst>
          </xdr:cNvPr>
          <xdr:cNvSpPr/>
        </xdr:nvSpPr>
        <xdr:spPr>
          <a:xfrm>
            <a:off x="2794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6" name="QRIOS">
            <a:extLst>
              <a:ext uri="{FF2B5EF4-FFF2-40B4-BE49-F238E27FC236}">
                <a16:creationId xmlns:a16="http://schemas.microsoft.com/office/drawing/2014/main" id="{00000000-0008-0000-0400-000060050000}"/>
              </a:ext>
            </a:extLst>
          </xdr:cNvPr>
          <xdr:cNvSpPr/>
        </xdr:nvSpPr>
        <xdr:spPr>
          <a:xfrm>
            <a:off x="2921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7" name="QRIOS">
            <a:extLst>
              <a:ext uri="{FF2B5EF4-FFF2-40B4-BE49-F238E27FC236}">
                <a16:creationId xmlns:a16="http://schemas.microsoft.com/office/drawing/2014/main" id="{00000000-0008-0000-0400-000061050000}"/>
              </a:ext>
            </a:extLst>
          </xdr:cNvPr>
          <xdr:cNvSpPr/>
        </xdr:nvSpPr>
        <xdr:spPr>
          <a:xfrm>
            <a:off x="3048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8" name="QRIOS">
            <a:extLst>
              <a:ext uri="{FF2B5EF4-FFF2-40B4-BE49-F238E27FC236}">
                <a16:creationId xmlns:a16="http://schemas.microsoft.com/office/drawing/2014/main" id="{00000000-0008-0000-0400-000062050000}"/>
              </a:ext>
            </a:extLst>
          </xdr:cNvPr>
          <xdr:cNvSpPr/>
        </xdr:nvSpPr>
        <xdr:spPr>
          <a:xfrm>
            <a:off x="3429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9" name="QRIOS">
            <a:extLst>
              <a:ext uri="{FF2B5EF4-FFF2-40B4-BE49-F238E27FC236}">
                <a16:creationId xmlns:a16="http://schemas.microsoft.com/office/drawing/2014/main" id="{00000000-0008-0000-0400-000063050000}"/>
              </a:ext>
            </a:extLst>
          </xdr:cNvPr>
          <xdr:cNvSpPr/>
        </xdr:nvSpPr>
        <xdr:spPr>
          <a:xfrm>
            <a:off x="3556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80" name="QRIOS">
            <a:extLst>
              <a:ext uri="{FF2B5EF4-FFF2-40B4-BE49-F238E27FC236}">
                <a16:creationId xmlns:a16="http://schemas.microsoft.com/office/drawing/2014/main" id="{00000000-0008-0000-0400-000064050000}"/>
              </a:ext>
            </a:extLst>
          </xdr:cNvPr>
          <xdr:cNvSpPr/>
        </xdr:nvSpPr>
        <xdr:spPr>
          <a:xfrm>
            <a:off x="4064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81" name="QRIOS">
            <a:extLst>
              <a:ext uri="{FF2B5EF4-FFF2-40B4-BE49-F238E27FC236}">
                <a16:creationId xmlns:a16="http://schemas.microsoft.com/office/drawing/2014/main" id="{00000000-0008-0000-0400-000065050000}"/>
              </a:ext>
            </a:extLst>
          </xdr:cNvPr>
          <xdr:cNvSpPr/>
        </xdr:nvSpPr>
        <xdr:spPr>
          <a:xfrm>
            <a:off x="4572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82" name="QRIOS">
            <a:extLst>
              <a:ext uri="{FF2B5EF4-FFF2-40B4-BE49-F238E27FC236}">
                <a16:creationId xmlns:a16="http://schemas.microsoft.com/office/drawing/2014/main" id="{00000000-0008-0000-0400-000066050000}"/>
              </a:ext>
            </a:extLst>
          </xdr:cNvPr>
          <xdr:cNvSpPr/>
        </xdr:nvSpPr>
        <xdr:spPr>
          <a:xfrm>
            <a:off x="5080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83" name="QRIOS">
            <a:extLst>
              <a:ext uri="{FF2B5EF4-FFF2-40B4-BE49-F238E27FC236}">
                <a16:creationId xmlns:a16="http://schemas.microsoft.com/office/drawing/2014/main" id="{00000000-0008-0000-0400-000067050000}"/>
              </a:ext>
            </a:extLst>
          </xdr:cNvPr>
          <xdr:cNvSpPr/>
        </xdr:nvSpPr>
        <xdr:spPr>
          <a:xfrm>
            <a:off x="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84" name="QRIOS">
            <a:extLst>
              <a:ext uri="{FF2B5EF4-FFF2-40B4-BE49-F238E27FC236}">
                <a16:creationId xmlns:a16="http://schemas.microsoft.com/office/drawing/2014/main" id="{00000000-0008-0000-0400-000068050000}"/>
              </a:ext>
            </a:extLst>
          </xdr:cNvPr>
          <xdr:cNvSpPr/>
        </xdr:nvSpPr>
        <xdr:spPr>
          <a:xfrm>
            <a:off x="127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85" name="QRIOS">
            <a:extLst>
              <a:ext uri="{FF2B5EF4-FFF2-40B4-BE49-F238E27FC236}">
                <a16:creationId xmlns:a16="http://schemas.microsoft.com/office/drawing/2014/main" id="{00000000-0008-0000-0400-000069050000}"/>
              </a:ext>
            </a:extLst>
          </xdr:cNvPr>
          <xdr:cNvSpPr/>
        </xdr:nvSpPr>
        <xdr:spPr>
          <a:xfrm>
            <a:off x="254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86" name="QRIOS">
            <a:extLst>
              <a:ext uri="{FF2B5EF4-FFF2-40B4-BE49-F238E27FC236}">
                <a16:creationId xmlns:a16="http://schemas.microsoft.com/office/drawing/2014/main" id="{00000000-0008-0000-0400-00006A050000}"/>
              </a:ext>
            </a:extLst>
          </xdr:cNvPr>
          <xdr:cNvSpPr/>
        </xdr:nvSpPr>
        <xdr:spPr>
          <a:xfrm>
            <a:off x="381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87" name="QRIOS">
            <a:extLst>
              <a:ext uri="{FF2B5EF4-FFF2-40B4-BE49-F238E27FC236}">
                <a16:creationId xmlns:a16="http://schemas.microsoft.com/office/drawing/2014/main" id="{00000000-0008-0000-0400-00006B050000}"/>
              </a:ext>
            </a:extLst>
          </xdr:cNvPr>
          <xdr:cNvSpPr/>
        </xdr:nvSpPr>
        <xdr:spPr>
          <a:xfrm>
            <a:off x="508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88" name="QRIOS">
            <a:extLst>
              <a:ext uri="{FF2B5EF4-FFF2-40B4-BE49-F238E27FC236}">
                <a16:creationId xmlns:a16="http://schemas.microsoft.com/office/drawing/2014/main" id="{00000000-0008-0000-0400-00006C050000}"/>
              </a:ext>
            </a:extLst>
          </xdr:cNvPr>
          <xdr:cNvSpPr/>
        </xdr:nvSpPr>
        <xdr:spPr>
          <a:xfrm>
            <a:off x="635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89" name="QRIOS">
            <a:extLst>
              <a:ext uri="{FF2B5EF4-FFF2-40B4-BE49-F238E27FC236}">
                <a16:creationId xmlns:a16="http://schemas.microsoft.com/office/drawing/2014/main" id="{00000000-0008-0000-0400-00006D050000}"/>
              </a:ext>
            </a:extLst>
          </xdr:cNvPr>
          <xdr:cNvSpPr/>
        </xdr:nvSpPr>
        <xdr:spPr>
          <a:xfrm>
            <a:off x="762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90" name="QRIOS">
            <a:extLst>
              <a:ext uri="{FF2B5EF4-FFF2-40B4-BE49-F238E27FC236}">
                <a16:creationId xmlns:a16="http://schemas.microsoft.com/office/drawing/2014/main" id="{00000000-0008-0000-0400-00006E050000}"/>
              </a:ext>
            </a:extLst>
          </xdr:cNvPr>
          <xdr:cNvSpPr/>
        </xdr:nvSpPr>
        <xdr:spPr>
          <a:xfrm>
            <a:off x="1143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91" name="QRIOS">
            <a:extLst>
              <a:ext uri="{FF2B5EF4-FFF2-40B4-BE49-F238E27FC236}">
                <a16:creationId xmlns:a16="http://schemas.microsoft.com/office/drawing/2014/main" id="{00000000-0008-0000-0400-00006F050000}"/>
              </a:ext>
            </a:extLst>
          </xdr:cNvPr>
          <xdr:cNvSpPr/>
        </xdr:nvSpPr>
        <xdr:spPr>
          <a:xfrm>
            <a:off x="1270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92" name="QRIOS">
            <a:extLst>
              <a:ext uri="{FF2B5EF4-FFF2-40B4-BE49-F238E27FC236}">
                <a16:creationId xmlns:a16="http://schemas.microsoft.com/office/drawing/2014/main" id="{00000000-0008-0000-0400-000070050000}"/>
              </a:ext>
            </a:extLst>
          </xdr:cNvPr>
          <xdr:cNvSpPr/>
        </xdr:nvSpPr>
        <xdr:spPr>
          <a:xfrm>
            <a:off x="1397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93" name="QRIOS">
            <a:extLst>
              <a:ext uri="{FF2B5EF4-FFF2-40B4-BE49-F238E27FC236}">
                <a16:creationId xmlns:a16="http://schemas.microsoft.com/office/drawing/2014/main" id="{00000000-0008-0000-0400-000071050000}"/>
              </a:ext>
            </a:extLst>
          </xdr:cNvPr>
          <xdr:cNvSpPr/>
        </xdr:nvSpPr>
        <xdr:spPr>
          <a:xfrm>
            <a:off x="1524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94" name="QRIOS">
            <a:extLst>
              <a:ext uri="{FF2B5EF4-FFF2-40B4-BE49-F238E27FC236}">
                <a16:creationId xmlns:a16="http://schemas.microsoft.com/office/drawing/2014/main" id="{00000000-0008-0000-0400-000072050000}"/>
              </a:ext>
            </a:extLst>
          </xdr:cNvPr>
          <xdr:cNvSpPr/>
        </xdr:nvSpPr>
        <xdr:spPr>
          <a:xfrm>
            <a:off x="1651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95" name="QRIOS">
            <a:extLst>
              <a:ext uri="{FF2B5EF4-FFF2-40B4-BE49-F238E27FC236}">
                <a16:creationId xmlns:a16="http://schemas.microsoft.com/office/drawing/2014/main" id="{00000000-0008-0000-0400-000073050000}"/>
              </a:ext>
            </a:extLst>
          </xdr:cNvPr>
          <xdr:cNvSpPr/>
        </xdr:nvSpPr>
        <xdr:spPr>
          <a:xfrm>
            <a:off x="1778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96" name="QRIOS">
            <a:extLst>
              <a:ext uri="{FF2B5EF4-FFF2-40B4-BE49-F238E27FC236}">
                <a16:creationId xmlns:a16="http://schemas.microsoft.com/office/drawing/2014/main" id="{00000000-0008-0000-0400-000074050000}"/>
              </a:ext>
            </a:extLst>
          </xdr:cNvPr>
          <xdr:cNvSpPr/>
        </xdr:nvSpPr>
        <xdr:spPr>
          <a:xfrm>
            <a:off x="1905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97" name="QRIOS">
            <a:extLst>
              <a:ext uri="{FF2B5EF4-FFF2-40B4-BE49-F238E27FC236}">
                <a16:creationId xmlns:a16="http://schemas.microsoft.com/office/drawing/2014/main" id="{00000000-0008-0000-0400-000075050000}"/>
              </a:ext>
            </a:extLst>
          </xdr:cNvPr>
          <xdr:cNvSpPr/>
        </xdr:nvSpPr>
        <xdr:spPr>
          <a:xfrm>
            <a:off x="2159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98" name="QRIOS">
            <a:extLst>
              <a:ext uri="{FF2B5EF4-FFF2-40B4-BE49-F238E27FC236}">
                <a16:creationId xmlns:a16="http://schemas.microsoft.com/office/drawing/2014/main" id="{00000000-0008-0000-0400-000076050000}"/>
              </a:ext>
            </a:extLst>
          </xdr:cNvPr>
          <xdr:cNvSpPr/>
        </xdr:nvSpPr>
        <xdr:spPr>
          <a:xfrm>
            <a:off x="2286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99" name="QRIOS">
            <a:extLst>
              <a:ext uri="{FF2B5EF4-FFF2-40B4-BE49-F238E27FC236}">
                <a16:creationId xmlns:a16="http://schemas.microsoft.com/office/drawing/2014/main" id="{00000000-0008-0000-0400-000077050000}"/>
              </a:ext>
            </a:extLst>
          </xdr:cNvPr>
          <xdr:cNvSpPr/>
        </xdr:nvSpPr>
        <xdr:spPr>
          <a:xfrm>
            <a:off x="2413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00" name="QRIOS">
            <a:extLst>
              <a:ext uri="{FF2B5EF4-FFF2-40B4-BE49-F238E27FC236}">
                <a16:creationId xmlns:a16="http://schemas.microsoft.com/office/drawing/2014/main" id="{00000000-0008-0000-0400-000078050000}"/>
              </a:ext>
            </a:extLst>
          </xdr:cNvPr>
          <xdr:cNvSpPr/>
        </xdr:nvSpPr>
        <xdr:spPr>
          <a:xfrm>
            <a:off x="2540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01" name="QRIOS">
            <a:extLst>
              <a:ext uri="{FF2B5EF4-FFF2-40B4-BE49-F238E27FC236}">
                <a16:creationId xmlns:a16="http://schemas.microsoft.com/office/drawing/2014/main" id="{00000000-0008-0000-0400-000079050000}"/>
              </a:ext>
            </a:extLst>
          </xdr:cNvPr>
          <xdr:cNvSpPr/>
        </xdr:nvSpPr>
        <xdr:spPr>
          <a:xfrm>
            <a:off x="2794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02" name="QRIOS">
            <a:extLst>
              <a:ext uri="{FF2B5EF4-FFF2-40B4-BE49-F238E27FC236}">
                <a16:creationId xmlns:a16="http://schemas.microsoft.com/office/drawing/2014/main" id="{00000000-0008-0000-0400-00007A050000}"/>
              </a:ext>
            </a:extLst>
          </xdr:cNvPr>
          <xdr:cNvSpPr/>
        </xdr:nvSpPr>
        <xdr:spPr>
          <a:xfrm>
            <a:off x="2921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03" name="QRIOS">
            <a:extLst>
              <a:ext uri="{FF2B5EF4-FFF2-40B4-BE49-F238E27FC236}">
                <a16:creationId xmlns:a16="http://schemas.microsoft.com/office/drawing/2014/main" id="{00000000-0008-0000-0400-00007B050000}"/>
              </a:ext>
            </a:extLst>
          </xdr:cNvPr>
          <xdr:cNvSpPr/>
        </xdr:nvSpPr>
        <xdr:spPr>
          <a:xfrm>
            <a:off x="3175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04" name="QRIOS">
            <a:extLst>
              <a:ext uri="{FF2B5EF4-FFF2-40B4-BE49-F238E27FC236}">
                <a16:creationId xmlns:a16="http://schemas.microsoft.com/office/drawing/2014/main" id="{00000000-0008-0000-0400-00007C050000}"/>
              </a:ext>
            </a:extLst>
          </xdr:cNvPr>
          <xdr:cNvSpPr/>
        </xdr:nvSpPr>
        <xdr:spPr>
          <a:xfrm>
            <a:off x="3302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05" name="QRIOS">
            <a:extLst>
              <a:ext uri="{FF2B5EF4-FFF2-40B4-BE49-F238E27FC236}">
                <a16:creationId xmlns:a16="http://schemas.microsoft.com/office/drawing/2014/main" id="{00000000-0008-0000-0400-00007D050000}"/>
              </a:ext>
            </a:extLst>
          </xdr:cNvPr>
          <xdr:cNvSpPr/>
        </xdr:nvSpPr>
        <xdr:spPr>
          <a:xfrm>
            <a:off x="3429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06" name="QRIOS">
            <a:extLst>
              <a:ext uri="{FF2B5EF4-FFF2-40B4-BE49-F238E27FC236}">
                <a16:creationId xmlns:a16="http://schemas.microsoft.com/office/drawing/2014/main" id="{00000000-0008-0000-0400-00007E050000}"/>
              </a:ext>
            </a:extLst>
          </xdr:cNvPr>
          <xdr:cNvSpPr/>
        </xdr:nvSpPr>
        <xdr:spPr>
          <a:xfrm>
            <a:off x="3810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07" name="QRIOS">
            <a:extLst>
              <a:ext uri="{FF2B5EF4-FFF2-40B4-BE49-F238E27FC236}">
                <a16:creationId xmlns:a16="http://schemas.microsoft.com/office/drawing/2014/main" id="{00000000-0008-0000-0400-00007F050000}"/>
              </a:ext>
            </a:extLst>
          </xdr:cNvPr>
          <xdr:cNvSpPr/>
        </xdr:nvSpPr>
        <xdr:spPr>
          <a:xfrm>
            <a:off x="4064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08" name="QRIOS">
            <a:extLst>
              <a:ext uri="{FF2B5EF4-FFF2-40B4-BE49-F238E27FC236}">
                <a16:creationId xmlns:a16="http://schemas.microsoft.com/office/drawing/2014/main" id="{00000000-0008-0000-0400-000080050000}"/>
              </a:ext>
            </a:extLst>
          </xdr:cNvPr>
          <xdr:cNvSpPr/>
        </xdr:nvSpPr>
        <xdr:spPr>
          <a:xfrm>
            <a:off x="4318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09" name="QRIOS">
            <a:extLst>
              <a:ext uri="{FF2B5EF4-FFF2-40B4-BE49-F238E27FC236}">
                <a16:creationId xmlns:a16="http://schemas.microsoft.com/office/drawing/2014/main" id="{00000000-0008-0000-0400-000081050000}"/>
              </a:ext>
            </a:extLst>
          </xdr:cNvPr>
          <xdr:cNvSpPr/>
        </xdr:nvSpPr>
        <xdr:spPr>
          <a:xfrm>
            <a:off x="4572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0" name="QRIOS">
            <a:extLst>
              <a:ext uri="{FF2B5EF4-FFF2-40B4-BE49-F238E27FC236}">
                <a16:creationId xmlns:a16="http://schemas.microsoft.com/office/drawing/2014/main" id="{00000000-0008-0000-0400-000082050000}"/>
              </a:ext>
            </a:extLst>
          </xdr:cNvPr>
          <xdr:cNvSpPr/>
        </xdr:nvSpPr>
        <xdr:spPr>
          <a:xfrm>
            <a:off x="5080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1" name="QRIOS">
            <a:extLst>
              <a:ext uri="{FF2B5EF4-FFF2-40B4-BE49-F238E27FC236}">
                <a16:creationId xmlns:a16="http://schemas.microsoft.com/office/drawing/2014/main" id="{00000000-0008-0000-0400-000083050000}"/>
              </a:ext>
            </a:extLst>
          </xdr:cNvPr>
          <xdr:cNvSpPr/>
        </xdr:nvSpPr>
        <xdr:spPr>
          <a:xfrm>
            <a:off x="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2" name="QRIOS">
            <a:extLst>
              <a:ext uri="{FF2B5EF4-FFF2-40B4-BE49-F238E27FC236}">
                <a16:creationId xmlns:a16="http://schemas.microsoft.com/office/drawing/2014/main" id="{00000000-0008-0000-0400-000084050000}"/>
              </a:ext>
            </a:extLst>
          </xdr:cNvPr>
          <xdr:cNvSpPr/>
        </xdr:nvSpPr>
        <xdr:spPr>
          <a:xfrm>
            <a:off x="762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3" name="QRIOS">
            <a:extLst>
              <a:ext uri="{FF2B5EF4-FFF2-40B4-BE49-F238E27FC236}">
                <a16:creationId xmlns:a16="http://schemas.microsoft.com/office/drawing/2014/main" id="{00000000-0008-0000-0400-000085050000}"/>
              </a:ext>
            </a:extLst>
          </xdr:cNvPr>
          <xdr:cNvSpPr/>
        </xdr:nvSpPr>
        <xdr:spPr>
          <a:xfrm>
            <a:off x="1016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4" name="QRIOS">
            <a:extLst>
              <a:ext uri="{FF2B5EF4-FFF2-40B4-BE49-F238E27FC236}">
                <a16:creationId xmlns:a16="http://schemas.microsoft.com/office/drawing/2014/main" id="{00000000-0008-0000-0400-000086050000}"/>
              </a:ext>
            </a:extLst>
          </xdr:cNvPr>
          <xdr:cNvSpPr/>
        </xdr:nvSpPr>
        <xdr:spPr>
          <a:xfrm>
            <a:off x="1778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5" name="QRIOS">
            <a:extLst>
              <a:ext uri="{FF2B5EF4-FFF2-40B4-BE49-F238E27FC236}">
                <a16:creationId xmlns:a16="http://schemas.microsoft.com/office/drawing/2014/main" id="{00000000-0008-0000-0400-000087050000}"/>
              </a:ext>
            </a:extLst>
          </xdr:cNvPr>
          <xdr:cNvSpPr/>
        </xdr:nvSpPr>
        <xdr:spPr>
          <a:xfrm>
            <a:off x="1905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6" name="QRIOS">
            <a:extLst>
              <a:ext uri="{FF2B5EF4-FFF2-40B4-BE49-F238E27FC236}">
                <a16:creationId xmlns:a16="http://schemas.microsoft.com/office/drawing/2014/main" id="{00000000-0008-0000-0400-000088050000}"/>
              </a:ext>
            </a:extLst>
          </xdr:cNvPr>
          <xdr:cNvSpPr/>
        </xdr:nvSpPr>
        <xdr:spPr>
          <a:xfrm>
            <a:off x="2032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7" name="QRIOS">
            <a:extLst>
              <a:ext uri="{FF2B5EF4-FFF2-40B4-BE49-F238E27FC236}">
                <a16:creationId xmlns:a16="http://schemas.microsoft.com/office/drawing/2014/main" id="{00000000-0008-0000-0400-000089050000}"/>
              </a:ext>
            </a:extLst>
          </xdr:cNvPr>
          <xdr:cNvSpPr/>
        </xdr:nvSpPr>
        <xdr:spPr>
          <a:xfrm>
            <a:off x="2413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8" name="QRIOS">
            <a:extLst>
              <a:ext uri="{FF2B5EF4-FFF2-40B4-BE49-F238E27FC236}">
                <a16:creationId xmlns:a16="http://schemas.microsoft.com/office/drawing/2014/main" id="{00000000-0008-0000-0400-00008A050000}"/>
              </a:ext>
            </a:extLst>
          </xdr:cNvPr>
          <xdr:cNvSpPr/>
        </xdr:nvSpPr>
        <xdr:spPr>
          <a:xfrm>
            <a:off x="2794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9" name="QRIOS">
            <a:extLst>
              <a:ext uri="{FF2B5EF4-FFF2-40B4-BE49-F238E27FC236}">
                <a16:creationId xmlns:a16="http://schemas.microsoft.com/office/drawing/2014/main" id="{00000000-0008-0000-0400-00008B050000}"/>
              </a:ext>
            </a:extLst>
          </xdr:cNvPr>
          <xdr:cNvSpPr/>
        </xdr:nvSpPr>
        <xdr:spPr>
          <a:xfrm>
            <a:off x="3048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20" name="QRIOS">
            <a:extLst>
              <a:ext uri="{FF2B5EF4-FFF2-40B4-BE49-F238E27FC236}">
                <a16:creationId xmlns:a16="http://schemas.microsoft.com/office/drawing/2014/main" id="{00000000-0008-0000-0400-00008C050000}"/>
              </a:ext>
            </a:extLst>
          </xdr:cNvPr>
          <xdr:cNvSpPr/>
        </xdr:nvSpPr>
        <xdr:spPr>
          <a:xfrm>
            <a:off x="3302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21" name="QRIOS">
            <a:extLst>
              <a:ext uri="{FF2B5EF4-FFF2-40B4-BE49-F238E27FC236}">
                <a16:creationId xmlns:a16="http://schemas.microsoft.com/office/drawing/2014/main" id="{00000000-0008-0000-0400-00008D050000}"/>
              </a:ext>
            </a:extLst>
          </xdr:cNvPr>
          <xdr:cNvSpPr/>
        </xdr:nvSpPr>
        <xdr:spPr>
          <a:xfrm>
            <a:off x="3556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22" name="QRIOS">
            <a:extLst>
              <a:ext uri="{FF2B5EF4-FFF2-40B4-BE49-F238E27FC236}">
                <a16:creationId xmlns:a16="http://schemas.microsoft.com/office/drawing/2014/main" id="{00000000-0008-0000-0400-00008E050000}"/>
              </a:ext>
            </a:extLst>
          </xdr:cNvPr>
          <xdr:cNvSpPr/>
        </xdr:nvSpPr>
        <xdr:spPr>
          <a:xfrm>
            <a:off x="4064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23" name="QRIOS">
            <a:extLst>
              <a:ext uri="{FF2B5EF4-FFF2-40B4-BE49-F238E27FC236}">
                <a16:creationId xmlns:a16="http://schemas.microsoft.com/office/drawing/2014/main" id="{00000000-0008-0000-0400-00008F050000}"/>
              </a:ext>
            </a:extLst>
          </xdr:cNvPr>
          <xdr:cNvSpPr/>
        </xdr:nvSpPr>
        <xdr:spPr>
          <a:xfrm>
            <a:off x="4572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24" name="QRIOS">
            <a:extLst>
              <a:ext uri="{FF2B5EF4-FFF2-40B4-BE49-F238E27FC236}">
                <a16:creationId xmlns:a16="http://schemas.microsoft.com/office/drawing/2014/main" id="{00000000-0008-0000-0400-000090050000}"/>
              </a:ext>
            </a:extLst>
          </xdr:cNvPr>
          <xdr:cNvSpPr/>
        </xdr:nvSpPr>
        <xdr:spPr>
          <a:xfrm>
            <a:off x="4699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25" name="QRIOS">
            <a:extLst>
              <a:ext uri="{FF2B5EF4-FFF2-40B4-BE49-F238E27FC236}">
                <a16:creationId xmlns:a16="http://schemas.microsoft.com/office/drawing/2014/main" id="{00000000-0008-0000-0400-000091050000}"/>
              </a:ext>
            </a:extLst>
          </xdr:cNvPr>
          <xdr:cNvSpPr/>
        </xdr:nvSpPr>
        <xdr:spPr>
          <a:xfrm>
            <a:off x="4953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26" name="QRIOS">
            <a:extLst>
              <a:ext uri="{FF2B5EF4-FFF2-40B4-BE49-F238E27FC236}">
                <a16:creationId xmlns:a16="http://schemas.microsoft.com/office/drawing/2014/main" id="{00000000-0008-0000-0400-000092050000}"/>
              </a:ext>
            </a:extLst>
          </xdr:cNvPr>
          <xdr:cNvSpPr/>
        </xdr:nvSpPr>
        <xdr:spPr>
          <a:xfrm>
            <a:off x="5080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27" name="QRIOS">
            <a:extLst>
              <a:ext uri="{FF2B5EF4-FFF2-40B4-BE49-F238E27FC236}">
                <a16:creationId xmlns:a16="http://schemas.microsoft.com/office/drawing/2014/main" id="{00000000-0008-0000-0400-000093050000}"/>
              </a:ext>
            </a:extLst>
          </xdr:cNvPr>
          <xdr:cNvSpPr/>
        </xdr:nvSpPr>
        <xdr:spPr>
          <a:xfrm>
            <a:off x="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28" name="QRIOS">
            <a:extLst>
              <a:ext uri="{FF2B5EF4-FFF2-40B4-BE49-F238E27FC236}">
                <a16:creationId xmlns:a16="http://schemas.microsoft.com/office/drawing/2014/main" id="{00000000-0008-0000-0400-000094050000}"/>
              </a:ext>
            </a:extLst>
          </xdr:cNvPr>
          <xdr:cNvSpPr/>
        </xdr:nvSpPr>
        <xdr:spPr>
          <a:xfrm>
            <a:off x="254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29" name="QRIOS">
            <a:extLst>
              <a:ext uri="{FF2B5EF4-FFF2-40B4-BE49-F238E27FC236}">
                <a16:creationId xmlns:a16="http://schemas.microsoft.com/office/drawing/2014/main" id="{00000000-0008-0000-0400-000095050000}"/>
              </a:ext>
            </a:extLst>
          </xdr:cNvPr>
          <xdr:cNvSpPr/>
        </xdr:nvSpPr>
        <xdr:spPr>
          <a:xfrm>
            <a:off x="381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30" name="QRIOS">
            <a:extLst>
              <a:ext uri="{FF2B5EF4-FFF2-40B4-BE49-F238E27FC236}">
                <a16:creationId xmlns:a16="http://schemas.microsoft.com/office/drawing/2014/main" id="{00000000-0008-0000-0400-000096050000}"/>
              </a:ext>
            </a:extLst>
          </xdr:cNvPr>
          <xdr:cNvSpPr/>
        </xdr:nvSpPr>
        <xdr:spPr>
          <a:xfrm>
            <a:off x="508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31" name="QRIOS">
            <a:extLst>
              <a:ext uri="{FF2B5EF4-FFF2-40B4-BE49-F238E27FC236}">
                <a16:creationId xmlns:a16="http://schemas.microsoft.com/office/drawing/2014/main" id="{00000000-0008-0000-0400-000097050000}"/>
              </a:ext>
            </a:extLst>
          </xdr:cNvPr>
          <xdr:cNvSpPr/>
        </xdr:nvSpPr>
        <xdr:spPr>
          <a:xfrm>
            <a:off x="762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32" name="QRIOS">
            <a:extLst>
              <a:ext uri="{FF2B5EF4-FFF2-40B4-BE49-F238E27FC236}">
                <a16:creationId xmlns:a16="http://schemas.microsoft.com/office/drawing/2014/main" id="{00000000-0008-0000-0400-000098050000}"/>
              </a:ext>
            </a:extLst>
          </xdr:cNvPr>
          <xdr:cNvSpPr/>
        </xdr:nvSpPr>
        <xdr:spPr>
          <a:xfrm>
            <a:off x="1143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33" name="QRIOS">
            <a:extLst>
              <a:ext uri="{FF2B5EF4-FFF2-40B4-BE49-F238E27FC236}">
                <a16:creationId xmlns:a16="http://schemas.microsoft.com/office/drawing/2014/main" id="{00000000-0008-0000-0400-000099050000}"/>
              </a:ext>
            </a:extLst>
          </xdr:cNvPr>
          <xdr:cNvSpPr/>
        </xdr:nvSpPr>
        <xdr:spPr>
          <a:xfrm>
            <a:off x="1270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34" name="QRIOS">
            <a:extLst>
              <a:ext uri="{FF2B5EF4-FFF2-40B4-BE49-F238E27FC236}">
                <a16:creationId xmlns:a16="http://schemas.microsoft.com/office/drawing/2014/main" id="{00000000-0008-0000-0400-00009A050000}"/>
              </a:ext>
            </a:extLst>
          </xdr:cNvPr>
          <xdr:cNvSpPr/>
        </xdr:nvSpPr>
        <xdr:spPr>
          <a:xfrm>
            <a:off x="1397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35" name="QRIOS">
            <a:extLst>
              <a:ext uri="{FF2B5EF4-FFF2-40B4-BE49-F238E27FC236}">
                <a16:creationId xmlns:a16="http://schemas.microsoft.com/office/drawing/2014/main" id="{00000000-0008-0000-0400-00009B050000}"/>
              </a:ext>
            </a:extLst>
          </xdr:cNvPr>
          <xdr:cNvSpPr/>
        </xdr:nvSpPr>
        <xdr:spPr>
          <a:xfrm>
            <a:off x="2159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36" name="QRIOS">
            <a:extLst>
              <a:ext uri="{FF2B5EF4-FFF2-40B4-BE49-F238E27FC236}">
                <a16:creationId xmlns:a16="http://schemas.microsoft.com/office/drawing/2014/main" id="{00000000-0008-0000-0400-00009C050000}"/>
              </a:ext>
            </a:extLst>
          </xdr:cNvPr>
          <xdr:cNvSpPr/>
        </xdr:nvSpPr>
        <xdr:spPr>
          <a:xfrm>
            <a:off x="2413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37" name="QRIOS">
            <a:extLst>
              <a:ext uri="{FF2B5EF4-FFF2-40B4-BE49-F238E27FC236}">
                <a16:creationId xmlns:a16="http://schemas.microsoft.com/office/drawing/2014/main" id="{00000000-0008-0000-0400-00009D050000}"/>
              </a:ext>
            </a:extLst>
          </xdr:cNvPr>
          <xdr:cNvSpPr/>
        </xdr:nvSpPr>
        <xdr:spPr>
          <a:xfrm>
            <a:off x="2667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38" name="QRIOS">
            <a:extLst>
              <a:ext uri="{FF2B5EF4-FFF2-40B4-BE49-F238E27FC236}">
                <a16:creationId xmlns:a16="http://schemas.microsoft.com/office/drawing/2014/main" id="{00000000-0008-0000-0400-00009E050000}"/>
              </a:ext>
            </a:extLst>
          </xdr:cNvPr>
          <xdr:cNvSpPr/>
        </xdr:nvSpPr>
        <xdr:spPr>
          <a:xfrm>
            <a:off x="3048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39" name="QRIOS">
            <a:extLst>
              <a:ext uri="{FF2B5EF4-FFF2-40B4-BE49-F238E27FC236}">
                <a16:creationId xmlns:a16="http://schemas.microsoft.com/office/drawing/2014/main" id="{00000000-0008-0000-0400-00009F050000}"/>
              </a:ext>
            </a:extLst>
          </xdr:cNvPr>
          <xdr:cNvSpPr/>
        </xdr:nvSpPr>
        <xdr:spPr>
          <a:xfrm>
            <a:off x="3175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40" name="QRIOS">
            <a:extLst>
              <a:ext uri="{FF2B5EF4-FFF2-40B4-BE49-F238E27FC236}">
                <a16:creationId xmlns:a16="http://schemas.microsoft.com/office/drawing/2014/main" id="{00000000-0008-0000-0400-0000A0050000}"/>
              </a:ext>
            </a:extLst>
          </xdr:cNvPr>
          <xdr:cNvSpPr/>
        </xdr:nvSpPr>
        <xdr:spPr>
          <a:xfrm>
            <a:off x="3810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41" name="QRIOS">
            <a:extLst>
              <a:ext uri="{FF2B5EF4-FFF2-40B4-BE49-F238E27FC236}">
                <a16:creationId xmlns:a16="http://schemas.microsoft.com/office/drawing/2014/main" id="{00000000-0008-0000-0400-0000A1050000}"/>
              </a:ext>
            </a:extLst>
          </xdr:cNvPr>
          <xdr:cNvSpPr/>
        </xdr:nvSpPr>
        <xdr:spPr>
          <a:xfrm>
            <a:off x="3937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42" name="QRIOS">
            <a:extLst>
              <a:ext uri="{FF2B5EF4-FFF2-40B4-BE49-F238E27FC236}">
                <a16:creationId xmlns:a16="http://schemas.microsoft.com/office/drawing/2014/main" id="{00000000-0008-0000-0400-0000A2050000}"/>
              </a:ext>
            </a:extLst>
          </xdr:cNvPr>
          <xdr:cNvSpPr/>
        </xdr:nvSpPr>
        <xdr:spPr>
          <a:xfrm>
            <a:off x="4064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43" name="QRIOS">
            <a:extLst>
              <a:ext uri="{FF2B5EF4-FFF2-40B4-BE49-F238E27FC236}">
                <a16:creationId xmlns:a16="http://schemas.microsoft.com/office/drawing/2014/main" id="{00000000-0008-0000-0400-0000A3050000}"/>
              </a:ext>
            </a:extLst>
          </xdr:cNvPr>
          <xdr:cNvSpPr/>
        </xdr:nvSpPr>
        <xdr:spPr>
          <a:xfrm>
            <a:off x="4191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44" name="QRIOS">
            <a:extLst>
              <a:ext uri="{FF2B5EF4-FFF2-40B4-BE49-F238E27FC236}">
                <a16:creationId xmlns:a16="http://schemas.microsoft.com/office/drawing/2014/main" id="{00000000-0008-0000-0400-0000A4050000}"/>
              </a:ext>
            </a:extLst>
          </xdr:cNvPr>
          <xdr:cNvSpPr/>
        </xdr:nvSpPr>
        <xdr:spPr>
          <a:xfrm>
            <a:off x="4318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45" name="QRIOS">
            <a:extLst>
              <a:ext uri="{FF2B5EF4-FFF2-40B4-BE49-F238E27FC236}">
                <a16:creationId xmlns:a16="http://schemas.microsoft.com/office/drawing/2014/main" id="{00000000-0008-0000-0400-0000A5050000}"/>
              </a:ext>
            </a:extLst>
          </xdr:cNvPr>
          <xdr:cNvSpPr/>
        </xdr:nvSpPr>
        <xdr:spPr>
          <a:xfrm>
            <a:off x="4445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46" name="QRIOS">
            <a:extLst>
              <a:ext uri="{FF2B5EF4-FFF2-40B4-BE49-F238E27FC236}">
                <a16:creationId xmlns:a16="http://schemas.microsoft.com/office/drawing/2014/main" id="{00000000-0008-0000-0400-0000A6050000}"/>
              </a:ext>
            </a:extLst>
          </xdr:cNvPr>
          <xdr:cNvSpPr/>
        </xdr:nvSpPr>
        <xdr:spPr>
          <a:xfrm>
            <a:off x="4572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47" name="QRIOS">
            <a:extLst>
              <a:ext uri="{FF2B5EF4-FFF2-40B4-BE49-F238E27FC236}">
                <a16:creationId xmlns:a16="http://schemas.microsoft.com/office/drawing/2014/main" id="{00000000-0008-0000-0400-0000A7050000}"/>
              </a:ext>
            </a:extLst>
          </xdr:cNvPr>
          <xdr:cNvSpPr/>
        </xdr:nvSpPr>
        <xdr:spPr>
          <a:xfrm>
            <a:off x="4699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48" name="QRIOS">
            <a:extLst>
              <a:ext uri="{FF2B5EF4-FFF2-40B4-BE49-F238E27FC236}">
                <a16:creationId xmlns:a16="http://schemas.microsoft.com/office/drawing/2014/main" id="{00000000-0008-0000-0400-0000A8050000}"/>
              </a:ext>
            </a:extLst>
          </xdr:cNvPr>
          <xdr:cNvSpPr/>
        </xdr:nvSpPr>
        <xdr:spPr>
          <a:xfrm>
            <a:off x="0" y="469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49" name="QRIOS">
            <a:extLst>
              <a:ext uri="{FF2B5EF4-FFF2-40B4-BE49-F238E27FC236}">
                <a16:creationId xmlns:a16="http://schemas.microsoft.com/office/drawing/2014/main" id="{00000000-0008-0000-0400-0000A9050000}"/>
              </a:ext>
            </a:extLst>
          </xdr:cNvPr>
          <xdr:cNvSpPr/>
        </xdr:nvSpPr>
        <xdr:spPr>
          <a:xfrm>
            <a:off x="25400" y="469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50" name="QRIOS">
            <a:extLst>
              <a:ext uri="{FF2B5EF4-FFF2-40B4-BE49-F238E27FC236}">
                <a16:creationId xmlns:a16="http://schemas.microsoft.com/office/drawing/2014/main" id="{00000000-0008-0000-0400-0000AA050000}"/>
              </a:ext>
            </a:extLst>
          </xdr:cNvPr>
          <xdr:cNvSpPr/>
        </xdr:nvSpPr>
        <xdr:spPr>
          <a:xfrm>
            <a:off x="38100" y="469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51" name="QRIOS">
            <a:extLst>
              <a:ext uri="{FF2B5EF4-FFF2-40B4-BE49-F238E27FC236}">
                <a16:creationId xmlns:a16="http://schemas.microsoft.com/office/drawing/2014/main" id="{00000000-0008-0000-0400-0000AB050000}"/>
              </a:ext>
            </a:extLst>
          </xdr:cNvPr>
          <xdr:cNvSpPr/>
        </xdr:nvSpPr>
        <xdr:spPr>
          <a:xfrm>
            <a:off x="50800" y="469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52" name="QRIOS">
            <a:extLst>
              <a:ext uri="{FF2B5EF4-FFF2-40B4-BE49-F238E27FC236}">
                <a16:creationId xmlns:a16="http://schemas.microsoft.com/office/drawing/2014/main" id="{00000000-0008-0000-0400-0000AC050000}"/>
              </a:ext>
            </a:extLst>
          </xdr:cNvPr>
          <xdr:cNvSpPr/>
        </xdr:nvSpPr>
        <xdr:spPr>
          <a:xfrm>
            <a:off x="76200" y="469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53" name="QRIOS">
            <a:extLst>
              <a:ext uri="{FF2B5EF4-FFF2-40B4-BE49-F238E27FC236}">
                <a16:creationId xmlns:a16="http://schemas.microsoft.com/office/drawing/2014/main" id="{00000000-0008-0000-0400-0000AD050000}"/>
              </a:ext>
            </a:extLst>
          </xdr:cNvPr>
          <xdr:cNvSpPr/>
        </xdr:nvSpPr>
        <xdr:spPr>
          <a:xfrm>
            <a:off x="114300" y="469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54" name="QRIOS">
            <a:extLst>
              <a:ext uri="{FF2B5EF4-FFF2-40B4-BE49-F238E27FC236}">
                <a16:creationId xmlns:a16="http://schemas.microsoft.com/office/drawing/2014/main" id="{00000000-0008-0000-0400-0000AE050000}"/>
              </a:ext>
            </a:extLst>
          </xdr:cNvPr>
          <xdr:cNvSpPr/>
        </xdr:nvSpPr>
        <xdr:spPr>
          <a:xfrm>
            <a:off x="127000" y="469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55" name="QRIOS">
            <a:extLst>
              <a:ext uri="{FF2B5EF4-FFF2-40B4-BE49-F238E27FC236}">
                <a16:creationId xmlns:a16="http://schemas.microsoft.com/office/drawing/2014/main" id="{00000000-0008-0000-0400-0000AF050000}"/>
              </a:ext>
            </a:extLst>
          </xdr:cNvPr>
          <xdr:cNvSpPr/>
        </xdr:nvSpPr>
        <xdr:spPr>
          <a:xfrm>
            <a:off x="139700" y="469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56" name="QRIOS">
            <a:extLst>
              <a:ext uri="{FF2B5EF4-FFF2-40B4-BE49-F238E27FC236}">
                <a16:creationId xmlns:a16="http://schemas.microsoft.com/office/drawing/2014/main" id="{00000000-0008-0000-0400-0000B0050000}"/>
              </a:ext>
            </a:extLst>
          </xdr:cNvPr>
          <xdr:cNvSpPr/>
        </xdr:nvSpPr>
        <xdr:spPr>
          <a:xfrm>
            <a:off x="152400" y="469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57" name="QRIOS">
            <a:extLst>
              <a:ext uri="{FF2B5EF4-FFF2-40B4-BE49-F238E27FC236}">
                <a16:creationId xmlns:a16="http://schemas.microsoft.com/office/drawing/2014/main" id="{00000000-0008-0000-0400-0000B1050000}"/>
              </a:ext>
            </a:extLst>
          </xdr:cNvPr>
          <xdr:cNvSpPr/>
        </xdr:nvSpPr>
        <xdr:spPr>
          <a:xfrm>
            <a:off x="177800" y="469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58" name="QRIOS">
            <a:extLst>
              <a:ext uri="{FF2B5EF4-FFF2-40B4-BE49-F238E27FC236}">
                <a16:creationId xmlns:a16="http://schemas.microsoft.com/office/drawing/2014/main" id="{00000000-0008-0000-0400-0000B2050000}"/>
              </a:ext>
            </a:extLst>
          </xdr:cNvPr>
          <xdr:cNvSpPr/>
        </xdr:nvSpPr>
        <xdr:spPr>
          <a:xfrm>
            <a:off x="203200" y="469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59" name="QRIOS">
            <a:extLst>
              <a:ext uri="{FF2B5EF4-FFF2-40B4-BE49-F238E27FC236}">
                <a16:creationId xmlns:a16="http://schemas.microsoft.com/office/drawing/2014/main" id="{00000000-0008-0000-0400-0000B3050000}"/>
              </a:ext>
            </a:extLst>
          </xdr:cNvPr>
          <xdr:cNvSpPr/>
        </xdr:nvSpPr>
        <xdr:spPr>
          <a:xfrm>
            <a:off x="215900" y="469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60" name="QRIOS">
            <a:extLst>
              <a:ext uri="{FF2B5EF4-FFF2-40B4-BE49-F238E27FC236}">
                <a16:creationId xmlns:a16="http://schemas.microsoft.com/office/drawing/2014/main" id="{00000000-0008-0000-0400-0000B4050000}"/>
              </a:ext>
            </a:extLst>
          </xdr:cNvPr>
          <xdr:cNvSpPr/>
        </xdr:nvSpPr>
        <xdr:spPr>
          <a:xfrm>
            <a:off x="254000" y="469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61" name="QRIOS">
            <a:extLst>
              <a:ext uri="{FF2B5EF4-FFF2-40B4-BE49-F238E27FC236}">
                <a16:creationId xmlns:a16="http://schemas.microsoft.com/office/drawing/2014/main" id="{00000000-0008-0000-0400-0000B5050000}"/>
              </a:ext>
            </a:extLst>
          </xdr:cNvPr>
          <xdr:cNvSpPr/>
        </xdr:nvSpPr>
        <xdr:spPr>
          <a:xfrm>
            <a:off x="292100" y="469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62" name="QRIOS">
            <a:extLst>
              <a:ext uri="{FF2B5EF4-FFF2-40B4-BE49-F238E27FC236}">
                <a16:creationId xmlns:a16="http://schemas.microsoft.com/office/drawing/2014/main" id="{00000000-0008-0000-0400-0000B6050000}"/>
              </a:ext>
            </a:extLst>
          </xdr:cNvPr>
          <xdr:cNvSpPr/>
        </xdr:nvSpPr>
        <xdr:spPr>
          <a:xfrm>
            <a:off x="317500" y="469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63" name="QRIOS">
            <a:extLst>
              <a:ext uri="{FF2B5EF4-FFF2-40B4-BE49-F238E27FC236}">
                <a16:creationId xmlns:a16="http://schemas.microsoft.com/office/drawing/2014/main" id="{00000000-0008-0000-0400-0000B7050000}"/>
              </a:ext>
            </a:extLst>
          </xdr:cNvPr>
          <xdr:cNvSpPr/>
        </xdr:nvSpPr>
        <xdr:spPr>
          <a:xfrm>
            <a:off x="330200" y="469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64" name="QRIOS">
            <a:extLst>
              <a:ext uri="{FF2B5EF4-FFF2-40B4-BE49-F238E27FC236}">
                <a16:creationId xmlns:a16="http://schemas.microsoft.com/office/drawing/2014/main" id="{00000000-0008-0000-0400-0000B8050000}"/>
              </a:ext>
            </a:extLst>
          </xdr:cNvPr>
          <xdr:cNvSpPr/>
        </xdr:nvSpPr>
        <xdr:spPr>
          <a:xfrm>
            <a:off x="355600" y="469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65" name="QRIOS">
            <a:extLst>
              <a:ext uri="{FF2B5EF4-FFF2-40B4-BE49-F238E27FC236}">
                <a16:creationId xmlns:a16="http://schemas.microsoft.com/office/drawing/2014/main" id="{00000000-0008-0000-0400-0000B9050000}"/>
              </a:ext>
            </a:extLst>
          </xdr:cNvPr>
          <xdr:cNvSpPr/>
        </xdr:nvSpPr>
        <xdr:spPr>
          <a:xfrm>
            <a:off x="368300" y="469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66" name="QRIOS">
            <a:extLst>
              <a:ext uri="{FF2B5EF4-FFF2-40B4-BE49-F238E27FC236}">
                <a16:creationId xmlns:a16="http://schemas.microsoft.com/office/drawing/2014/main" id="{00000000-0008-0000-0400-0000BA050000}"/>
              </a:ext>
            </a:extLst>
          </xdr:cNvPr>
          <xdr:cNvSpPr/>
        </xdr:nvSpPr>
        <xdr:spPr>
          <a:xfrm>
            <a:off x="406400" y="469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67" name="QRIOS">
            <a:extLst>
              <a:ext uri="{FF2B5EF4-FFF2-40B4-BE49-F238E27FC236}">
                <a16:creationId xmlns:a16="http://schemas.microsoft.com/office/drawing/2014/main" id="{00000000-0008-0000-0400-0000BB050000}"/>
              </a:ext>
            </a:extLst>
          </xdr:cNvPr>
          <xdr:cNvSpPr/>
        </xdr:nvSpPr>
        <xdr:spPr>
          <a:xfrm>
            <a:off x="444500" y="469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68" name="QRIOS">
            <a:extLst>
              <a:ext uri="{FF2B5EF4-FFF2-40B4-BE49-F238E27FC236}">
                <a16:creationId xmlns:a16="http://schemas.microsoft.com/office/drawing/2014/main" id="{00000000-0008-0000-0400-0000BC050000}"/>
              </a:ext>
            </a:extLst>
          </xdr:cNvPr>
          <xdr:cNvSpPr/>
        </xdr:nvSpPr>
        <xdr:spPr>
          <a:xfrm>
            <a:off x="457200" y="469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69" name="QRIOS">
            <a:extLst>
              <a:ext uri="{FF2B5EF4-FFF2-40B4-BE49-F238E27FC236}">
                <a16:creationId xmlns:a16="http://schemas.microsoft.com/office/drawing/2014/main" id="{00000000-0008-0000-0400-0000BD050000}"/>
              </a:ext>
            </a:extLst>
          </xdr:cNvPr>
          <xdr:cNvSpPr/>
        </xdr:nvSpPr>
        <xdr:spPr>
          <a:xfrm>
            <a:off x="469900" y="469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70" name="QRIOS">
            <a:extLst>
              <a:ext uri="{FF2B5EF4-FFF2-40B4-BE49-F238E27FC236}">
                <a16:creationId xmlns:a16="http://schemas.microsoft.com/office/drawing/2014/main" id="{00000000-0008-0000-0400-0000BE050000}"/>
              </a:ext>
            </a:extLst>
          </xdr:cNvPr>
          <xdr:cNvSpPr/>
        </xdr:nvSpPr>
        <xdr:spPr>
          <a:xfrm>
            <a:off x="482600" y="469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71" name="QRIOS">
            <a:extLst>
              <a:ext uri="{FF2B5EF4-FFF2-40B4-BE49-F238E27FC236}">
                <a16:creationId xmlns:a16="http://schemas.microsoft.com/office/drawing/2014/main" id="{00000000-0008-0000-0400-0000BF050000}"/>
              </a:ext>
            </a:extLst>
          </xdr:cNvPr>
          <xdr:cNvSpPr/>
        </xdr:nvSpPr>
        <xdr:spPr>
          <a:xfrm>
            <a:off x="0" y="482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72" name="QRIOS">
            <a:extLst>
              <a:ext uri="{FF2B5EF4-FFF2-40B4-BE49-F238E27FC236}">
                <a16:creationId xmlns:a16="http://schemas.microsoft.com/office/drawing/2014/main" id="{00000000-0008-0000-0400-0000C0050000}"/>
              </a:ext>
            </a:extLst>
          </xdr:cNvPr>
          <xdr:cNvSpPr/>
        </xdr:nvSpPr>
        <xdr:spPr>
          <a:xfrm>
            <a:off x="25400" y="482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73" name="QRIOS">
            <a:extLst>
              <a:ext uri="{FF2B5EF4-FFF2-40B4-BE49-F238E27FC236}">
                <a16:creationId xmlns:a16="http://schemas.microsoft.com/office/drawing/2014/main" id="{00000000-0008-0000-0400-0000C1050000}"/>
              </a:ext>
            </a:extLst>
          </xdr:cNvPr>
          <xdr:cNvSpPr/>
        </xdr:nvSpPr>
        <xdr:spPr>
          <a:xfrm>
            <a:off x="38100" y="482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74" name="QRIOS">
            <a:extLst>
              <a:ext uri="{FF2B5EF4-FFF2-40B4-BE49-F238E27FC236}">
                <a16:creationId xmlns:a16="http://schemas.microsoft.com/office/drawing/2014/main" id="{00000000-0008-0000-0400-0000C2050000}"/>
              </a:ext>
            </a:extLst>
          </xdr:cNvPr>
          <xdr:cNvSpPr/>
        </xdr:nvSpPr>
        <xdr:spPr>
          <a:xfrm>
            <a:off x="50800" y="482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75" name="QRIOS">
            <a:extLst>
              <a:ext uri="{FF2B5EF4-FFF2-40B4-BE49-F238E27FC236}">
                <a16:creationId xmlns:a16="http://schemas.microsoft.com/office/drawing/2014/main" id="{00000000-0008-0000-0400-0000C3050000}"/>
              </a:ext>
            </a:extLst>
          </xdr:cNvPr>
          <xdr:cNvSpPr/>
        </xdr:nvSpPr>
        <xdr:spPr>
          <a:xfrm>
            <a:off x="76200" y="482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76" name="QRIOS">
            <a:extLst>
              <a:ext uri="{FF2B5EF4-FFF2-40B4-BE49-F238E27FC236}">
                <a16:creationId xmlns:a16="http://schemas.microsoft.com/office/drawing/2014/main" id="{00000000-0008-0000-0400-0000C4050000}"/>
              </a:ext>
            </a:extLst>
          </xdr:cNvPr>
          <xdr:cNvSpPr/>
        </xdr:nvSpPr>
        <xdr:spPr>
          <a:xfrm>
            <a:off x="101600" y="482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77" name="QRIOS">
            <a:extLst>
              <a:ext uri="{FF2B5EF4-FFF2-40B4-BE49-F238E27FC236}">
                <a16:creationId xmlns:a16="http://schemas.microsoft.com/office/drawing/2014/main" id="{00000000-0008-0000-0400-0000C5050000}"/>
              </a:ext>
            </a:extLst>
          </xdr:cNvPr>
          <xdr:cNvSpPr/>
        </xdr:nvSpPr>
        <xdr:spPr>
          <a:xfrm>
            <a:off x="114300" y="482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78" name="QRIOS">
            <a:extLst>
              <a:ext uri="{FF2B5EF4-FFF2-40B4-BE49-F238E27FC236}">
                <a16:creationId xmlns:a16="http://schemas.microsoft.com/office/drawing/2014/main" id="{00000000-0008-0000-0400-0000C6050000}"/>
              </a:ext>
            </a:extLst>
          </xdr:cNvPr>
          <xdr:cNvSpPr/>
        </xdr:nvSpPr>
        <xdr:spPr>
          <a:xfrm>
            <a:off x="139700" y="482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79" name="QRIOS">
            <a:extLst>
              <a:ext uri="{FF2B5EF4-FFF2-40B4-BE49-F238E27FC236}">
                <a16:creationId xmlns:a16="http://schemas.microsoft.com/office/drawing/2014/main" id="{00000000-0008-0000-0400-0000C7050000}"/>
              </a:ext>
            </a:extLst>
          </xdr:cNvPr>
          <xdr:cNvSpPr/>
        </xdr:nvSpPr>
        <xdr:spPr>
          <a:xfrm>
            <a:off x="165100" y="482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80" name="QRIOS">
            <a:extLst>
              <a:ext uri="{FF2B5EF4-FFF2-40B4-BE49-F238E27FC236}">
                <a16:creationId xmlns:a16="http://schemas.microsoft.com/office/drawing/2014/main" id="{00000000-0008-0000-0400-0000C8050000}"/>
              </a:ext>
            </a:extLst>
          </xdr:cNvPr>
          <xdr:cNvSpPr/>
        </xdr:nvSpPr>
        <xdr:spPr>
          <a:xfrm>
            <a:off x="177800" y="482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81" name="QRIOS">
            <a:extLst>
              <a:ext uri="{FF2B5EF4-FFF2-40B4-BE49-F238E27FC236}">
                <a16:creationId xmlns:a16="http://schemas.microsoft.com/office/drawing/2014/main" id="{00000000-0008-0000-0400-0000C9050000}"/>
              </a:ext>
            </a:extLst>
          </xdr:cNvPr>
          <xdr:cNvSpPr/>
        </xdr:nvSpPr>
        <xdr:spPr>
          <a:xfrm>
            <a:off x="190500" y="482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82" name="QRIOS">
            <a:extLst>
              <a:ext uri="{FF2B5EF4-FFF2-40B4-BE49-F238E27FC236}">
                <a16:creationId xmlns:a16="http://schemas.microsoft.com/office/drawing/2014/main" id="{00000000-0008-0000-0400-0000CA050000}"/>
              </a:ext>
            </a:extLst>
          </xdr:cNvPr>
          <xdr:cNvSpPr/>
        </xdr:nvSpPr>
        <xdr:spPr>
          <a:xfrm>
            <a:off x="241300" y="482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83" name="QRIOS">
            <a:extLst>
              <a:ext uri="{FF2B5EF4-FFF2-40B4-BE49-F238E27FC236}">
                <a16:creationId xmlns:a16="http://schemas.microsoft.com/office/drawing/2014/main" id="{00000000-0008-0000-0400-0000CB050000}"/>
              </a:ext>
            </a:extLst>
          </xdr:cNvPr>
          <xdr:cNvSpPr/>
        </xdr:nvSpPr>
        <xdr:spPr>
          <a:xfrm>
            <a:off x="266700" y="482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84" name="QRIOS">
            <a:extLst>
              <a:ext uri="{FF2B5EF4-FFF2-40B4-BE49-F238E27FC236}">
                <a16:creationId xmlns:a16="http://schemas.microsoft.com/office/drawing/2014/main" id="{00000000-0008-0000-0400-0000CC050000}"/>
              </a:ext>
            </a:extLst>
          </xdr:cNvPr>
          <xdr:cNvSpPr/>
        </xdr:nvSpPr>
        <xdr:spPr>
          <a:xfrm>
            <a:off x="292100" y="482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85" name="QRIOS">
            <a:extLst>
              <a:ext uri="{FF2B5EF4-FFF2-40B4-BE49-F238E27FC236}">
                <a16:creationId xmlns:a16="http://schemas.microsoft.com/office/drawing/2014/main" id="{00000000-0008-0000-0400-0000CD050000}"/>
              </a:ext>
            </a:extLst>
          </xdr:cNvPr>
          <xdr:cNvSpPr/>
        </xdr:nvSpPr>
        <xdr:spPr>
          <a:xfrm>
            <a:off x="317500" y="482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86" name="QRIOS">
            <a:extLst>
              <a:ext uri="{FF2B5EF4-FFF2-40B4-BE49-F238E27FC236}">
                <a16:creationId xmlns:a16="http://schemas.microsoft.com/office/drawing/2014/main" id="{00000000-0008-0000-0400-0000CE050000}"/>
              </a:ext>
            </a:extLst>
          </xdr:cNvPr>
          <xdr:cNvSpPr/>
        </xdr:nvSpPr>
        <xdr:spPr>
          <a:xfrm>
            <a:off x="342900" y="482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87" name="QRIOS">
            <a:extLst>
              <a:ext uri="{FF2B5EF4-FFF2-40B4-BE49-F238E27FC236}">
                <a16:creationId xmlns:a16="http://schemas.microsoft.com/office/drawing/2014/main" id="{00000000-0008-0000-0400-0000CF050000}"/>
              </a:ext>
            </a:extLst>
          </xdr:cNvPr>
          <xdr:cNvSpPr/>
        </xdr:nvSpPr>
        <xdr:spPr>
          <a:xfrm>
            <a:off x="393700" y="482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88" name="QRIOS">
            <a:extLst>
              <a:ext uri="{FF2B5EF4-FFF2-40B4-BE49-F238E27FC236}">
                <a16:creationId xmlns:a16="http://schemas.microsoft.com/office/drawing/2014/main" id="{00000000-0008-0000-0400-0000D0050000}"/>
              </a:ext>
            </a:extLst>
          </xdr:cNvPr>
          <xdr:cNvSpPr/>
        </xdr:nvSpPr>
        <xdr:spPr>
          <a:xfrm>
            <a:off x="457200" y="482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89" name="QRIOS">
            <a:extLst>
              <a:ext uri="{FF2B5EF4-FFF2-40B4-BE49-F238E27FC236}">
                <a16:creationId xmlns:a16="http://schemas.microsoft.com/office/drawing/2014/main" id="{00000000-0008-0000-0400-0000D1050000}"/>
              </a:ext>
            </a:extLst>
          </xdr:cNvPr>
          <xdr:cNvSpPr/>
        </xdr:nvSpPr>
        <xdr:spPr>
          <a:xfrm>
            <a:off x="482600" y="482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90" name="QRIOS">
            <a:extLst>
              <a:ext uri="{FF2B5EF4-FFF2-40B4-BE49-F238E27FC236}">
                <a16:creationId xmlns:a16="http://schemas.microsoft.com/office/drawing/2014/main" id="{00000000-0008-0000-0400-0000D2050000}"/>
              </a:ext>
            </a:extLst>
          </xdr:cNvPr>
          <xdr:cNvSpPr/>
        </xdr:nvSpPr>
        <xdr:spPr>
          <a:xfrm>
            <a:off x="495300" y="482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91" name="QRIOS">
            <a:extLst>
              <a:ext uri="{FF2B5EF4-FFF2-40B4-BE49-F238E27FC236}">
                <a16:creationId xmlns:a16="http://schemas.microsoft.com/office/drawing/2014/main" id="{00000000-0008-0000-0400-0000D3050000}"/>
              </a:ext>
            </a:extLst>
          </xdr:cNvPr>
          <xdr:cNvSpPr/>
        </xdr:nvSpPr>
        <xdr:spPr>
          <a:xfrm>
            <a:off x="0" y="495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92" name="QRIOS">
            <a:extLst>
              <a:ext uri="{FF2B5EF4-FFF2-40B4-BE49-F238E27FC236}">
                <a16:creationId xmlns:a16="http://schemas.microsoft.com/office/drawing/2014/main" id="{00000000-0008-0000-0400-0000D4050000}"/>
              </a:ext>
            </a:extLst>
          </xdr:cNvPr>
          <xdr:cNvSpPr/>
        </xdr:nvSpPr>
        <xdr:spPr>
          <a:xfrm>
            <a:off x="76200" y="495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93" name="QRIOS">
            <a:extLst>
              <a:ext uri="{FF2B5EF4-FFF2-40B4-BE49-F238E27FC236}">
                <a16:creationId xmlns:a16="http://schemas.microsoft.com/office/drawing/2014/main" id="{00000000-0008-0000-0400-0000D5050000}"/>
              </a:ext>
            </a:extLst>
          </xdr:cNvPr>
          <xdr:cNvSpPr/>
        </xdr:nvSpPr>
        <xdr:spPr>
          <a:xfrm>
            <a:off x="101600" y="495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94" name="QRIOS">
            <a:extLst>
              <a:ext uri="{FF2B5EF4-FFF2-40B4-BE49-F238E27FC236}">
                <a16:creationId xmlns:a16="http://schemas.microsoft.com/office/drawing/2014/main" id="{00000000-0008-0000-0400-0000D6050000}"/>
              </a:ext>
            </a:extLst>
          </xdr:cNvPr>
          <xdr:cNvSpPr/>
        </xdr:nvSpPr>
        <xdr:spPr>
          <a:xfrm>
            <a:off x="114300" y="495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95" name="QRIOS">
            <a:extLst>
              <a:ext uri="{FF2B5EF4-FFF2-40B4-BE49-F238E27FC236}">
                <a16:creationId xmlns:a16="http://schemas.microsoft.com/office/drawing/2014/main" id="{00000000-0008-0000-0400-0000D7050000}"/>
              </a:ext>
            </a:extLst>
          </xdr:cNvPr>
          <xdr:cNvSpPr/>
        </xdr:nvSpPr>
        <xdr:spPr>
          <a:xfrm>
            <a:off x="139700" y="495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96" name="QRIOS">
            <a:extLst>
              <a:ext uri="{FF2B5EF4-FFF2-40B4-BE49-F238E27FC236}">
                <a16:creationId xmlns:a16="http://schemas.microsoft.com/office/drawing/2014/main" id="{00000000-0008-0000-0400-0000D8050000}"/>
              </a:ext>
            </a:extLst>
          </xdr:cNvPr>
          <xdr:cNvSpPr/>
        </xdr:nvSpPr>
        <xdr:spPr>
          <a:xfrm>
            <a:off x="228600" y="495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97" name="QRIOS">
            <a:extLst>
              <a:ext uri="{FF2B5EF4-FFF2-40B4-BE49-F238E27FC236}">
                <a16:creationId xmlns:a16="http://schemas.microsoft.com/office/drawing/2014/main" id="{00000000-0008-0000-0400-0000D9050000}"/>
              </a:ext>
            </a:extLst>
          </xdr:cNvPr>
          <xdr:cNvSpPr/>
        </xdr:nvSpPr>
        <xdr:spPr>
          <a:xfrm>
            <a:off x="241300" y="495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98" name="QRIOS">
            <a:extLst>
              <a:ext uri="{FF2B5EF4-FFF2-40B4-BE49-F238E27FC236}">
                <a16:creationId xmlns:a16="http://schemas.microsoft.com/office/drawing/2014/main" id="{00000000-0008-0000-0400-0000DA050000}"/>
              </a:ext>
            </a:extLst>
          </xdr:cNvPr>
          <xdr:cNvSpPr/>
        </xdr:nvSpPr>
        <xdr:spPr>
          <a:xfrm>
            <a:off x="254000" y="495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99" name="QRIOS">
            <a:extLst>
              <a:ext uri="{FF2B5EF4-FFF2-40B4-BE49-F238E27FC236}">
                <a16:creationId xmlns:a16="http://schemas.microsoft.com/office/drawing/2014/main" id="{00000000-0008-0000-0400-0000DB050000}"/>
              </a:ext>
            </a:extLst>
          </xdr:cNvPr>
          <xdr:cNvSpPr/>
        </xdr:nvSpPr>
        <xdr:spPr>
          <a:xfrm>
            <a:off x="279400" y="495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500" name="QRIOS">
            <a:extLst>
              <a:ext uri="{FF2B5EF4-FFF2-40B4-BE49-F238E27FC236}">
                <a16:creationId xmlns:a16="http://schemas.microsoft.com/office/drawing/2014/main" id="{00000000-0008-0000-0400-0000DC050000}"/>
              </a:ext>
            </a:extLst>
          </xdr:cNvPr>
          <xdr:cNvSpPr/>
        </xdr:nvSpPr>
        <xdr:spPr>
          <a:xfrm>
            <a:off x="330200" y="495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501" name="QRIOS">
            <a:extLst>
              <a:ext uri="{FF2B5EF4-FFF2-40B4-BE49-F238E27FC236}">
                <a16:creationId xmlns:a16="http://schemas.microsoft.com/office/drawing/2014/main" id="{00000000-0008-0000-0400-0000DD050000}"/>
              </a:ext>
            </a:extLst>
          </xdr:cNvPr>
          <xdr:cNvSpPr/>
        </xdr:nvSpPr>
        <xdr:spPr>
          <a:xfrm>
            <a:off x="342900" y="495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502" name="QRIOS">
            <a:extLst>
              <a:ext uri="{FF2B5EF4-FFF2-40B4-BE49-F238E27FC236}">
                <a16:creationId xmlns:a16="http://schemas.microsoft.com/office/drawing/2014/main" id="{00000000-0008-0000-0400-0000DE050000}"/>
              </a:ext>
            </a:extLst>
          </xdr:cNvPr>
          <xdr:cNvSpPr/>
        </xdr:nvSpPr>
        <xdr:spPr>
          <a:xfrm>
            <a:off x="355600" y="495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503" name="QRIOS">
            <a:extLst>
              <a:ext uri="{FF2B5EF4-FFF2-40B4-BE49-F238E27FC236}">
                <a16:creationId xmlns:a16="http://schemas.microsoft.com/office/drawing/2014/main" id="{00000000-0008-0000-0400-0000DF050000}"/>
              </a:ext>
            </a:extLst>
          </xdr:cNvPr>
          <xdr:cNvSpPr/>
        </xdr:nvSpPr>
        <xdr:spPr>
          <a:xfrm>
            <a:off x="406400" y="495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504" name="QRIOS">
            <a:extLst>
              <a:ext uri="{FF2B5EF4-FFF2-40B4-BE49-F238E27FC236}">
                <a16:creationId xmlns:a16="http://schemas.microsoft.com/office/drawing/2014/main" id="{00000000-0008-0000-0400-0000E0050000}"/>
              </a:ext>
            </a:extLst>
          </xdr:cNvPr>
          <xdr:cNvSpPr/>
        </xdr:nvSpPr>
        <xdr:spPr>
          <a:xfrm>
            <a:off x="419100" y="495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505" name="QRIOS">
            <a:extLst>
              <a:ext uri="{FF2B5EF4-FFF2-40B4-BE49-F238E27FC236}">
                <a16:creationId xmlns:a16="http://schemas.microsoft.com/office/drawing/2014/main" id="{00000000-0008-0000-0400-0000E1050000}"/>
              </a:ext>
            </a:extLst>
          </xdr:cNvPr>
          <xdr:cNvSpPr/>
        </xdr:nvSpPr>
        <xdr:spPr>
          <a:xfrm>
            <a:off x="444500" y="495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506" name="QRIOS">
            <a:extLst>
              <a:ext uri="{FF2B5EF4-FFF2-40B4-BE49-F238E27FC236}">
                <a16:creationId xmlns:a16="http://schemas.microsoft.com/office/drawing/2014/main" id="{00000000-0008-0000-0400-0000E2050000}"/>
              </a:ext>
            </a:extLst>
          </xdr:cNvPr>
          <xdr:cNvSpPr/>
        </xdr:nvSpPr>
        <xdr:spPr>
          <a:xfrm>
            <a:off x="0" y="508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507" name="QRIOS">
            <a:extLst>
              <a:ext uri="{FF2B5EF4-FFF2-40B4-BE49-F238E27FC236}">
                <a16:creationId xmlns:a16="http://schemas.microsoft.com/office/drawing/2014/main" id="{00000000-0008-0000-0400-0000E3050000}"/>
              </a:ext>
            </a:extLst>
          </xdr:cNvPr>
          <xdr:cNvSpPr/>
        </xdr:nvSpPr>
        <xdr:spPr>
          <a:xfrm>
            <a:off x="12700" y="508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508" name="QRIOS">
            <a:extLst>
              <a:ext uri="{FF2B5EF4-FFF2-40B4-BE49-F238E27FC236}">
                <a16:creationId xmlns:a16="http://schemas.microsoft.com/office/drawing/2014/main" id="{00000000-0008-0000-0400-0000E4050000}"/>
              </a:ext>
            </a:extLst>
          </xdr:cNvPr>
          <xdr:cNvSpPr/>
        </xdr:nvSpPr>
        <xdr:spPr>
          <a:xfrm>
            <a:off x="25400" y="508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509" name="QRIOS">
            <a:extLst>
              <a:ext uri="{FF2B5EF4-FFF2-40B4-BE49-F238E27FC236}">
                <a16:creationId xmlns:a16="http://schemas.microsoft.com/office/drawing/2014/main" id="{00000000-0008-0000-0400-0000E5050000}"/>
              </a:ext>
            </a:extLst>
          </xdr:cNvPr>
          <xdr:cNvSpPr/>
        </xdr:nvSpPr>
        <xdr:spPr>
          <a:xfrm>
            <a:off x="38100" y="508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510" name="QRIOS">
            <a:extLst>
              <a:ext uri="{FF2B5EF4-FFF2-40B4-BE49-F238E27FC236}">
                <a16:creationId xmlns:a16="http://schemas.microsoft.com/office/drawing/2014/main" id="{00000000-0008-0000-0400-0000E6050000}"/>
              </a:ext>
            </a:extLst>
          </xdr:cNvPr>
          <xdr:cNvSpPr/>
        </xdr:nvSpPr>
        <xdr:spPr>
          <a:xfrm>
            <a:off x="50800" y="508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511" name="QRIOS">
            <a:extLst>
              <a:ext uri="{FF2B5EF4-FFF2-40B4-BE49-F238E27FC236}">
                <a16:creationId xmlns:a16="http://schemas.microsoft.com/office/drawing/2014/main" id="{00000000-0008-0000-0400-0000E7050000}"/>
              </a:ext>
            </a:extLst>
          </xdr:cNvPr>
          <xdr:cNvSpPr/>
        </xdr:nvSpPr>
        <xdr:spPr>
          <a:xfrm>
            <a:off x="63500" y="508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512" name="QRIOS">
            <a:extLst>
              <a:ext uri="{FF2B5EF4-FFF2-40B4-BE49-F238E27FC236}">
                <a16:creationId xmlns:a16="http://schemas.microsoft.com/office/drawing/2014/main" id="{00000000-0008-0000-0400-0000E8050000}"/>
              </a:ext>
            </a:extLst>
          </xdr:cNvPr>
          <xdr:cNvSpPr/>
        </xdr:nvSpPr>
        <xdr:spPr>
          <a:xfrm>
            <a:off x="76200" y="508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513" name="QRIOS">
            <a:extLst>
              <a:ext uri="{FF2B5EF4-FFF2-40B4-BE49-F238E27FC236}">
                <a16:creationId xmlns:a16="http://schemas.microsoft.com/office/drawing/2014/main" id="{00000000-0008-0000-0400-0000E9050000}"/>
              </a:ext>
            </a:extLst>
          </xdr:cNvPr>
          <xdr:cNvSpPr/>
        </xdr:nvSpPr>
        <xdr:spPr>
          <a:xfrm>
            <a:off x="101600" y="508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514" name="QRIOS">
            <a:extLst>
              <a:ext uri="{FF2B5EF4-FFF2-40B4-BE49-F238E27FC236}">
                <a16:creationId xmlns:a16="http://schemas.microsoft.com/office/drawing/2014/main" id="{00000000-0008-0000-0400-0000EA050000}"/>
              </a:ext>
            </a:extLst>
          </xdr:cNvPr>
          <xdr:cNvSpPr/>
        </xdr:nvSpPr>
        <xdr:spPr>
          <a:xfrm>
            <a:off x="127000" y="508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515" name="QRIOS">
            <a:extLst>
              <a:ext uri="{FF2B5EF4-FFF2-40B4-BE49-F238E27FC236}">
                <a16:creationId xmlns:a16="http://schemas.microsoft.com/office/drawing/2014/main" id="{00000000-0008-0000-0400-0000EB050000}"/>
              </a:ext>
            </a:extLst>
          </xdr:cNvPr>
          <xdr:cNvSpPr/>
        </xdr:nvSpPr>
        <xdr:spPr>
          <a:xfrm>
            <a:off x="139700" y="508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516" name="QRIOS">
            <a:extLst>
              <a:ext uri="{FF2B5EF4-FFF2-40B4-BE49-F238E27FC236}">
                <a16:creationId xmlns:a16="http://schemas.microsoft.com/office/drawing/2014/main" id="{00000000-0008-0000-0400-0000EC050000}"/>
              </a:ext>
            </a:extLst>
          </xdr:cNvPr>
          <xdr:cNvSpPr/>
        </xdr:nvSpPr>
        <xdr:spPr>
          <a:xfrm>
            <a:off x="190500" y="508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517" name="QRIOS">
            <a:extLst>
              <a:ext uri="{FF2B5EF4-FFF2-40B4-BE49-F238E27FC236}">
                <a16:creationId xmlns:a16="http://schemas.microsoft.com/office/drawing/2014/main" id="{00000000-0008-0000-0400-0000ED050000}"/>
              </a:ext>
            </a:extLst>
          </xdr:cNvPr>
          <xdr:cNvSpPr/>
        </xdr:nvSpPr>
        <xdr:spPr>
          <a:xfrm>
            <a:off x="203200" y="508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518" name="QRIOS">
            <a:extLst>
              <a:ext uri="{FF2B5EF4-FFF2-40B4-BE49-F238E27FC236}">
                <a16:creationId xmlns:a16="http://schemas.microsoft.com/office/drawing/2014/main" id="{00000000-0008-0000-0400-0000EE050000}"/>
              </a:ext>
            </a:extLst>
          </xdr:cNvPr>
          <xdr:cNvSpPr/>
        </xdr:nvSpPr>
        <xdr:spPr>
          <a:xfrm>
            <a:off x="228600" y="508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519" name="QRIOS">
            <a:extLst>
              <a:ext uri="{FF2B5EF4-FFF2-40B4-BE49-F238E27FC236}">
                <a16:creationId xmlns:a16="http://schemas.microsoft.com/office/drawing/2014/main" id="{00000000-0008-0000-0400-0000EF050000}"/>
              </a:ext>
            </a:extLst>
          </xdr:cNvPr>
          <xdr:cNvSpPr/>
        </xdr:nvSpPr>
        <xdr:spPr>
          <a:xfrm>
            <a:off x="241300" y="508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520" name="QRIOS">
            <a:extLst>
              <a:ext uri="{FF2B5EF4-FFF2-40B4-BE49-F238E27FC236}">
                <a16:creationId xmlns:a16="http://schemas.microsoft.com/office/drawing/2014/main" id="{00000000-0008-0000-0400-0000F0050000}"/>
              </a:ext>
            </a:extLst>
          </xdr:cNvPr>
          <xdr:cNvSpPr/>
        </xdr:nvSpPr>
        <xdr:spPr>
          <a:xfrm>
            <a:off x="304800" y="508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521" name="QRIOS">
            <a:extLst>
              <a:ext uri="{FF2B5EF4-FFF2-40B4-BE49-F238E27FC236}">
                <a16:creationId xmlns:a16="http://schemas.microsoft.com/office/drawing/2014/main" id="{00000000-0008-0000-0400-0000F1050000}"/>
              </a:ext>
            </a:extLst>
          </xdr:cNvPr>
          <xdr:cNvSpPr/>
        </xdr:nvSpPr>
        <xdr:spPr>
          <a:xfrm>
            <a:off x="381000" y="508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522" name="QRIOS">
            <a:extLst>
              <a:ext uri="{FF2B5EF4-FFF2-40B4-BE49-F238E27FC236}">
                <a16:creationId xmlns:a16="http://schemas.microsoft.com/office/drawing/2014/main" id="{00000000-0008-0000-0400-0000F2050000}"/>
              </a:ext>
            </a:extLst>
          </xdr:cNvPr>
          <xdr:cNvSpPr/>
        </xdr:nvSpPr>
        <xdr:spPr>
          <a:xfrm>
            <a:off x="406400" y="508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523" name="QRIOS">
            <a:extLst>
              <a:ext uri="{FF2B5EF4-FFF2-40B4-BE49-F238E27FC236}">
                <a16:creationId xmlns:a16="http://schemas.microsoft.com/office/drawing/2014/main" id="{00000000-0008-0000-0400-0000F3050000}"/>
              </a:ext>
            </a:extLst>
          </xdr:cNvPr>
          <xdr:cNvSpPr/>
        </xdr:nvSpPr>
        <xdr:spPr>
          <a:xfrm>
            <a:off x="457200" y="508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524" name="QRIOS">
            <a:extLst>
              <a:ext uri="{FF2B5EF4-FFF2-40B4-BE49-F238E27FC236}">
                <a16:creationId xmlns:a16="http://schemas.microsoft.com/office/drawing/2014/main" id="{00000000-0008-0000-0400-0000F4050000}"/>
              </a:ext>
            </a:extLst>
          </xdr:cNvPr>
          <xdr:cNvSpPr/>
        </xdr:nvSpPr>
        <xdr:spPr>
          <a:xfrm>
            <a:off x="469900" y="508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525" name="QRIOS">
            <a:extLst>
              <a:ext uri="{FF2B5EF4-FFF2-40B4-BE49-F238E27FC236}">
                <a16:creationId xmlns:a16="http://schemas.microsoft.com/office/drawing/2014/main" id="{00000000-0008-0000-0400-0000F5050000}"/>
              </a:ext>
            </a:extLst>
          </xdr:cNvPr>
          <xdr:cNvSpPr/>
        </xdr:nvSpPr>
        <xdr:spPr>
          <a:xfrm>
            <a:off x="508000" y="508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1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EA07F-2D12-41A3-89FE-10CEDDA8325A}">
  <sheetPr codeName="Decode"/>
  <dimension ref="A1:JG78"/>
  <sheetViews>
    <sheetView showGridLines="0" zoomScaleNormal="100" workbookViewId="0">
      <selection activeCell="B4" sqref="B4:F4"/>
    </sheetView>
  </sheetViews>
  <sheetFormatPr defaultRowHeight="15" x14ac:dyDescent="0.25"/>
  <cols>
    <col min="1" max="1" width="33" style="2" bestFit="1" customWidth="1"/>
    <col min="2" max="3" width="9.140625" style="11"/>
    <col min="4" max="4" width="22.7109375" style="3" customWidth="1"/>
    <col min="5" max="5" width="17.28515625" style="11" customWidth="1"/>
    <col min="6" max="6" width="9.140625" style="4"/>
    <col min="7" max="7" width="9.140625" style="5"/>
    <col min="8" max="9" width="10.42578125" style="4" bestFit="1" customWidth="1"/>
    <col min="10" max="10" width="10.85546875" style="1" bestFit="1" customWidth="1"/>
    <col min="11" max="11" width="34.7109375" style="1" bestFit="1" customWidth="1"/>
    <col min="12" max="12" width="30.7109375" style="1" bestFit="1" customWidth="1"/>
    <col min="13" max="13" width="9.140625" style="1"/>
    <col min="14" max="14" width="9.140625" style="1" customWidth="1"/>
    <col min="15" max="18" width="11.28515625" style="1" customWidth="1"/>
    <col min="19" max="19" width="9.140625" style="1"/>
    <col min="20" max="20" width="11.28515625" style="1" bestFit="1" customWidth="1"/>
    <col min="21" max="16384" width="9.140625" style="1"/>
  </cols>
  <sheetData>
    <row r="1" spans="1:267" x14ac:dyDescent="0.25">
      <c r="B1" s="10"/>
      <c r="D1" s="12"/>
    </row>
    <row r="2" spans="1:267" ht="16.5" x14ac:dyDescent="0.3">
      <c r="A2" s="8" t="s">
        <v>448</v>
      </c>
      <c r="B2" s="97" t="s">
        <v>671</v>
      </c>
    </row>
    <row r="3" spans="1:267" hidden="1" x14ac:dyDescent="0.25">
      <c r="A3" s="74" t="s">
        <v>409</v>
      </c>
      <c r="B3" s="10" t="str">
        <f>UPPER(RIGHT(B2,4))</f>
        <v>8A6A</v>
      </c>
      <c r="C3" s="75" t="s">
        <v>410</v>
      </c>
      <c r="D3" s="3" t="s">
        <v>672</v>
      </c>
      <c r="E3" s="11" t="s">
        <v>404</v>
      </c>
      <c r="F3" s="2" t="str">
        <f>LEFT(B2,(LEN(B2)-4))</f>
        <v>00020101021126380009SG.PAYNOW010100211+6582014380030115303702540510.005802SG5916QR PAYNOW MOBILE6009SINGAPORE61060810066304</v>
      </c>
      <c r="I3" s="4" t="s">
        <v>369</v>
      </c>
      <c r="J3" s="1" t="str" cm="1">
        <f t="array" ref="J3">Str2Asc(F3)</f>
        <v>303030323031303130323131323633383030303953472E5041594E4F573031303130303231312B363538323031343338303033303131353330333730323534303531302E3030353830325347353931365152205041594E4F57204D4F42494C453630303953494E4741504F52453631303630383130303636333034</v>
      </c>
      <c r="K3" s="1" t="s">
        <v>406</v>
      </c>
      <c r="L3" t="s">
        <v>113</v>
      </c>
      <c r="M3" t="s">
        <v>114</v>
      </c>
      <c r="N3" t="s">
        <v>115</v>
      </c>
      <c r="O3" t="s">
        <v>116</v>
      </c>
      <c r="P3" t="s">
        <v>117</v>
      </c>
      <c r="Q3" t="s">
        <v>118</v>
      </c>
      <c r="R3" t="s">
        <v>119</v>
      </c>
      <c r="S3" t="s">
        <v>120</v>
      </c>
      <c r="T3" t="s">
        <v>121</v>
      </c>
      <c r="U3" t="s">
        <v>122</v>
      </c>
      <c r="V3" t="s">
        <v>123</v>
      </c>
      <c r="W3" t="s">
        <v>124</v>
      </c>
      <c r="X3" t="s">
        <v>125</v>
      </c>
      <c r="Y3" t="s">
        <v>126</v>
      </c>
      <c r="Z3" t="s">
        <v>127</v>
      </c>
      <c r="AA3" t="s">
        <v>128</v>
      </c>
      <c r="AB3" t="s">
        <v>129</v>
      </c>
      <c r="AC3" t="s">
        <v>130</v>
      </c>
      <c r="AD3" t="s">
        <v>131</v>
      </c>
      <c r="AE3" t="s">
        <v>132</v>
      </c>
      <c r="AF3" t="s">
        <v>133</v>
      </c>
      <c r="AG3" t="s">
        <v>134</v>
      </c>
      <c r="AH3" t="s">
        <v>135</v>
      </c>
      <c r="AI3" t="s">
        <v>136</v>
      </c>
      <c r="AJ3" t="s">
        <v>137</v>
      </c>
      <c r="AK3" t="s">
        <v>138</v>
      </c>
      <c r="AL3" t="s">
        <v>139</v>
      </c>
      <c r="AM3" t="s">
        <v>140</v>
      </c>
      <c r="AN3" t="s">
        <v>141</v>
      </c>
      <c r="AO3" t="s">
        <v>142</v>
      </c>
      <c r="AP3" t="s">
        <v>143</v>
      </c>
      <c r="AQ3" t="s">
        <v>144</v>
      </c>
      <c r="AR3" t="s">
        <v>145</v>
      </c>
      <c r="AS3" t="s">
        <v>146</v>
      </c>
      <c r="AT3" t="s">
        <v>147</v>
      </c>
      <c r="AU3" t="s">
        <v>148</v>
      </c>
      <c r="AV3" t="s">
        <v>149</v>
      </c>
      <c r="AW3" t="s">
        <v>150</v>
      </c>
      <c r="AX3" t="s">
        <v>151</v>
      </c>
      <c r="AY3" t="s">
        <v>152</v>
      </c>
      <c r="AZ3" t="s">
        <v>153</v>
      </c>
      <c r="BA3" t="s">
        <v>154</v>
      </c>
      <c r="BB3" t="s">
        <v>155</v>
      </c>
      <c r="BC3" t="s">
        <v>156</v>
      </c>
      <c r="BD3" t="s">
        <v>157</v>
      </c>
      <c r="BE3" t="s">
        <v>158</v>
      </c>
      <c r="BF3" t="s">
        <v>159</v>
      </c>
      <c r="BG3" t="s">
        <v>160</v>
      </c>
      <c r="BH3" t="s">
        <v>161</v>
      </c>
      <c r="BI3" t="s">
        <v>162</v>
      </c>
      <c r="BJ3" t="s">
        <v>163</v>
      </c>
      <c r="BK3" t="s">
        <v>164</v>
      </c>
      <c r="BL3" t="s">
        <v>165</v>
      </c>
      <c r="BM3" t="s">
        <v>166</v>
      </c>
      <c r="BN3" t="s">
        <v>167</v>
      </c>
      <c r="BO3" t="s">
        <v>168</v>
      </c>
      <c r="BP3" t="s">
        <v>169</v>
      </c>
      <c r="BQ3" t="s">
        <v>170</v>
      </c>
      <c r="BR3" t="s">
        <v>171</v>
      </c>
      <c r="BS3" t="s">
        <v>172</v>
      </c>
      <c r="BT3" t="s">
        <v>173</v>
      </c>
      <c r="BU3" t="s">
        <v>174</v>
      </c>
      <c r="BV3" t="s">
        <v>175</v>
      </c>
      <c r="BW3" t="s">
        <v>176</v>
      </c>
      <c r="BX3" t="s">
        <v>177</v>
      </c>
      <c r="BY3" t="s">
        <v>178</v>
      </c>
      <c r="BZ3" t="s">
        <v>179</v>
      </c>
      <c r="CA3" t="s">
        <v>180</v>
      </c>
      <c r="CB3" t="s">
        <v>181</v>
      </c>
      <c r="CC3" t="s">
        <v>182</v>
      </c>
      <c r="CD3" t="s">
        <v>183</v>
      </c>
      <c r="CE3" t="s">
        <v>184</v>
      </c>
      <c r="CF3" t="s">
        <v>185</v>
      </c>
      <c r="CG3" t="s">
        <v>186</v>
      </c>
      <c r="CH3" t="s">
        <v>187</v>
      </c>
      <c r="CI3" t="s">
        <v>188</v>
      </c>
      <c r="CJ3" t="s">
        <v>189</v>
      </c>
      <c r="CK3" t="s">
        <v>190</v>
      </c>
      <c r="CL3" t="s">
        <v>191</v>
      </c>
      <c r="CM3" t="s">
        <v>192</v>
      </c>
      <c r="CN3" t="s">
        <v>193</v>
      </c>
      <c r="CO3" t="s">
        <v>194</v>
      </c>
      <c r="CP3" t="s">
        <v>195</v>
      </c>
      <c r="CQ3" t="s">
        <v>196</v>
      </c>
      <c r="CR3" t="s">
        <v>197</v>
      </c>
      <c r="CS3" t="s">
        <v>198</v>
      </c>
      <c r="CT3" t="s">
        <v>199</v>
      </c>
      <c r="CU3" t="s">
        <v>200</v>
      </c>
      <c r="CV3" t="s">
        <v>201</v>
      </c>
      <c r="CW3" t="s">
        <v>202</v>
      </c>
      <c r="CX3" t="s">
        <v>203</v>
      </c>
      <c r="CY3" t="s">
        <v>204</v>
      </c>
      <c r="CZ3" t="s">
        <v>205</v>
      </c>
      <c r="DA3" t="s">
        <v>206</v>
      </c>
      <c r="DB3" t="s">
        <v>207</v>
      </c>
      <c r="DC3" t="s">
        <v>208</v>
      </c>
      <c r="DD3" t="s">
        <v>209</v>
      </c>
      <c r="DE3" t="s">
        <v>210</v>
      </c>
      <c r="DF3" t="s">
        <v>211</v>
      </c>
      <c r="DG3" t="s">
        <v>212</v>
      </c>
      <c r="DH3" t="s">
        <v>213</v>
      </c>
      <c r="DI3" t="s">
        <v>214</v>
      </c>
      <c r="DJ3" t="s">
        <v>215</v>
      </c>
      <c r="DK3" t="s">
        <v>216</v>
      </c>
      <c r="DL3" t="s">
        <v>217</v>
      </c>
      <c r="DM3" t="s">
        <v>218</v>
      </c>
      <c r="DN3" t="s">
        <v>219</v>
      </c>
      <c r="DO3" t="s">
        <v>220</v>
      </c>
      <c r="DP3" t="s">
        <v>221</v>
      </c>
      <c r="DQ3" t="s">
        <v>222</v>
      </c>
      <c r="DR3" t="s">
        <v>223</v>
      </c>
      <c r="DS3" t="s">
        <v>224</v>
      </c>
      <c r="DT3" t="s">
        <v>225</v>
      </c>
      <c r="DU3" t="s">
        <v>226</v>
      </c>
      <c r="DV3" t="s">
        <v>227</v>
      </c>
      <c r="DW3" t="s">
        <v>228</v>
      </c>
      <c r="DX3" t="s">
        <v>229</v>
      </c>
      <c r="DY3" t="s">
        <v>230</v>
      </c>
      <c r="DZ3" t="s">
        <v>231</v>
      </c>
      <c r="EA3" t="s">
        <v>232</v>
      </c>
      <c r="EB3" t="s">
        <v>233</v>
      </c>
      <c r="EC3" t="s">
        <v>234</v>
      </c>
      <c r="ED3" t="s">
        <v>235</v>
      </c>
      <c r="EE3" t="s">
        <v>236</v>
      </c>
      <c r="EF3" t="s">
        <v>237</v>
      </c>
      <c r="EG3" t="s">
        <v>238</v>
      </c>
      <c r="EH3" t="s">
        <v>239</v>
      </c>
      <c r="EI3" t="s">
        <v>240</v>
      </c>
      <c r="EJ3" t="s">
        <v>241</v>
      </c>
      <c r="EK3" t="s">
        <v>242</v>
      </c>
      <c r="EL3" t="s">
        <v>243</v>
      </c>
      <c r="EM3" t="s">
        <v>244</v>
      </c>
      <c r="EN3" t="s">
        <v>245</v>
      </c>
      <c r="EO3" t="s">
        <v>246</v>
      </c>
      <c r="EP3" t="s">
        <v>247</v>
      </c>
      <c r="EQ3" t="s">
        <v>248</v>
      </c>
      <c r="ER3" t="s">
        <v>249</v>
      </c>
      <c r="ES3" t="s">
        <v>250</v>
      </c>
      <c r="ET3" t="s">
        <v>251</v>
      </c>
      <c r="EU3" t="s">
        <v>252</v>
      </c>
      <c r="EV3" t="s">
        <v>253</v>
      </c>
      <c r="EW3" t="s">
        <v>254</v>
      </c>
      <c r="EX3" t="s">
        <v>255</v>
      </c>
      <c r="EY3" t="s">
        <v>256</v>
      </c>
      <c r="EZ3" t="s">
        <v>257</v>
      </c>
      <c r="FA3" t="s">
        <v>258</v>
      </c>
      <c r="FB3" t="s">
        <v>259</v>
      </c>
      <c r="FC3" t="s">
        <v>260</v>
      </c>
      <c r="FD3" t="s">
        <v>261</v>
      </c>
      <c r="FE3" t="s">
        <v>262</v>
      </c>
      <c r="FF3" t="s">
        <v>263</v>
      </c>
      <c r="FG3" t="s">
        <v>264</v>
      </c>
      <c r="FH3" t="s">
        <v>265</v>
      </c>
      <c r="FI3" t="s">
        <v>266</v>
      </c>
      <c r="FJ3" t="s">
        <v>267</v>
      </c>
      <c r="FK3" t="s">
        <v>268</v>
      </c>
      <c r="FL3" t="s">
        <v>269</v>
      </c>
      <c r="FM3" t="s">
        <v>270</v>
      </c>
      <c r="FN3" t="s">
        <v>271</v>
      </c>
      <c r="FO3" t="s">
        <v>272</v>
      </c>
      <c r="FP3" t="s">
        <v>273</v>
      </c>
      <c r="FQ3" t="s">
        <v>274</v>
      </c>
      <c r="FR3" t="s">
        <v>275</v>
      </c>
      <c r="FS3" t="s">
        <v>276</v>
      </c>
      <c r="FT3" t="s">
        <v>277</v>
      </c>
      <c r="FU3" t="s">
        <v>278</v>
      </c>
      <c r="FV3" t="s">
        <v>279</v>
      </c>
      <c r="FW3" t="s">
        <v>280</v>
      </c>
      <c r="FX3" t="s">
        <v>281</v>
      </c>
      <c r="FY3" t="s">
        <v>282</v>
      </c>
      <c r="FZ3" t="s">
        <v>283</v>
      </c>
      <c r="GA3" t="s">
        <v>284</v>
      </c>
      <c r="GB3" t="s">
        <v>285</v>
      </c>
      <c r="GC3" t="s">
        <v>286</v>
      </c>
      <c r="GD3" t="s">
        <v>287</v>
      </c>
      <c r="GE3" t="s">
        <v>288</v>
      </c>
      <c r="GF3" t="s">
        <v>289</v>
      </c>
      <c r="GG3" t="s">
        <v>290</v>
      </c>
      <c r="GH3" t="s">
        <v>291</v>
      </c>
      <c r="GI3" t="s">
        <v>292</v>
      </c>
      <c r="GJ3" t="s">
        <v>293</v>
      </c>
      <c r="GK3" t="s">
        <v>294</v>
      </c>
      <c r="GL3" t="s">
        <v>295</v>
      </c>
      <c r="GM3" t="s">
        <v>296</v>
      </c>
      <c r="GN3" t="s">
        <v>297</v>
      </c>
      <c r="GO3" t="s">
        <v>298</v>
      </c>
      <c r="GP3" t="s">
        <v>299</v>
      </c>
      <c r="GQ3" t="s">
        <v>300</v>
      </c>
      <c r="GR3" t="s">
        <v>301</v>
      </c>
      <c r="GS3" t="s">
        <v>302</v>
      </c>
      <c r="GT3" t="s">
        <v>303</v>
      </c>
      <c r="GU3" t="s">
        <v>304</v>
      </c>
      <c r="GV3" t="s">
        <v>305</v>
      </c>
      <c r="GW3" t="s">
        <v>306</v>
      </c>
      <c r="GX3" t="s">
        <v>307</v>
      </c>
      <c r="GY3" t="s">
        <v>308</v>
      </c>
      <c r="GZ3" t="s">
        <v>309</v>
      </c>
      <c r="HA3" t="s">
        <v>310</v>
      </c>
      <c r="HB3" t="s">
        <v>311</v>
      </c>
      <c r="HC3" t="s">
        <v>312</v>
      </c>
      <c r="HD3" t="s">
        <v>313</v>
      </c>
      <c r="HE3" t="s">
        <v>314</v>
      </c>
      <c r="HF3" t="s">
        <v>315</v>
      </c>
      <c r="HG3" t="s">
        <v>316</v>
      </c>
      <c r="HH3" t="s">
        <v>317</v>
      </c>
      <c r="HI3" t="s">
        <v>318</v>
      </c>
      <c r="HJ3" t="s">
        <v>319</v>
      </c>
      <c r="HK3" t="s">
        <v>320</v>
      </c>
      <c r="HL3" t="s">
        <v>321</v>
      </c>
      <c r="HM3" t="s">
        <v>322</v>
      </c>
      <c r="HN3" t="s">
        <v>323</v>
      </c>
      <c r="HO3" t="s">
        <v>324</v>
      </c>
      <c r="HP3" t="s">
        <v>325</v>
      </c>
      <c r="HQ3" t="s">
        <v>326</v>
      </c>
      <c r="HR3" t="s">
        <v>327</v>
      </c>
      <c r="HS3" t="s">
        <v>328</v>
      </c>
      <c r="HT3" t="s">
        <v>329</v>
      </c>
      <c r="HU3" t="s">
        <v>330</v>
      </c>
      <c r="HV3" t="s">
        <v>331</v>
      </c>
      <c r="HW3" t="s">
        <v>332</v>
      </c>
      <c r="HX3" t="s">
        <v>333</v>
      </c>
      <c r="HY3" t="s">
        <v>334</v>
      </c>
      <c r="HZ3" t="s">
        <v>335</v>
      </c>
      <c r="IA3" t="s">
        <v>336</v>
      </c>
      <c r="IB3" t="s">
        <v>337</v>
      </c>
      <c r="IC3" t="s">
        <v>338</v>
      </c>
      <c r="ID3" t="s">
        <v>339</v>
      </c>
      <c r="IE3" t="s">
        <v>340</v>
      </c>
      <c r="IF3" t="s">
        <v>341</v>
      </c>
      <c r="IG3" t="s">
        <v>342</v>
      </c>
      <c r="IH3" t="s">
        <v>343</v>
      </c>
      <c r="II3" t="s">
        <v>344</v>
      </c>
      <c r="IJ3" t="s">
        <v>345</v>
      </c>
      <c r="IK3" t="s">
        <v>346</v>
      </c>
      <c r="IL3" t="s">
        <v>347</v>
      </c>
      <c r="IM3" t="s">
        <v>348</v>
      </c>
      <c r="IN3" t="s">
        <v>349</v>
      </c>
      <c r="IO3" t="s">
        <v>350</v>
      </c>
      <c r="IP3" t="s">
        <v>351</v>
      </c>
      <c r="IQ3" t="s">
        <v>352</v>
      </c>
      <c r="IR3" t="s">
        <v>353</v>
      </c>
      <c r="IS3" t="s">
        <v>354</v>
      </c>
      <c r="IT3" t="s">
        <v>355</v>
      </c>
      <c r="IU3" t="s">
        <v>356</v>
      </c>
      <c r="IV3" t="s">
        <v>357</v>
      </c>
      <c r="IW3" t="s">
        <v>358</v>
      </c>
      <c r="IX3" t="s">
        <v>359</v>
      </c>
      <c r="IY3" t="s">
        <v>360</v>
      </c>
      <c r="IZ3" t="s">
        <v>361</v>
      </c>
      <c r="JA3" t="s">
        <v>362</v>
      </c>
      <c r="JB3" t="s">
        <v>363</v>
      </c>
      <c r="JC3" t="s">
        <v>364</v>
      </c>
      <c r="JD3" t="s">
        <v>365</v>
      </c>
      <c r="JE3" t="s">
        <v>366</v>
      </c>
      <c r="JF3" t="s">
        <v>367</v>
      </c>
      <c r="JG3" t="s">
        <v>368</v>
      </c>
    </row>
    <row r="4" spans="1:267" x14ac:dyDescent="0.25">
      <c r="A4" s="8" t="s">
        <v>408</v>
      </c>
      <c r="B4" s="109" t="str" cm="1">
        <f t="array" ref="B4">_xlfn.IFS(LEFT(B2,4)="NETS","NETS QR STRING DECODE NOT YET SUPPORTED",B3=D3,"VALID")</f>
        <v>VALID</v>
      </c>
      <c r="C4" s="109"/>
      <c r="D4" s="109"/>
      <c r="E4" s="109"/>
      <c r="F4" s="109"/>
      <c r="G4" s="10" t="str">
        <f>IF(LEFT(B2,4)="NETS","QR Generation still possible at DrawTab","")</f>
        <v/>
      </c>
    </row>
    <row r="5" spans="1:267" ht="15.75" thickBot="1" x14ac:dyDescent="0.3">
      <c r="B5" s="9"/>
      <c r="D5" s="13"/>
    </row>
    <row r="6" spans="1:267" ht="15" customHeight="1" thickBot="1" x14ac:dyDescent="0.3">
      <c r="A6" s="64" t="s">
        <v>396</v>
      </c>
      <c r="B6" s="65">
        <f>LEN(B2)</f>
        <v>127</v>
      </c>
      <c r="C6" s="1"/>
      <c r="D6" s="110" t="s">
        <v>653</v>
      </c>
      <c r="E6" s="111"/>
      <c r="F6" s="111"/>
      <c r="G6" s="112"/>
      <c r="I6" s="116" t="s">
        <v>101</v>
      </c>
      <c r="J6" s="117"/>
      <c r="K6" s="117"/>
      <c r="L6" s="118"/>
      <c r="O6" s="120" t="s">
        <v>16</v>
      </c>
      <c r="P6" s="121"/>
      <c r="Q6" s="121"/>
      <c r="R6" s="122"/>
    </row>
    <row r="7" spans="1:267" ht="15" customHeight="1" thickBot="1" x14ac:dyDescent="0.3">
      <c r="A7" s="66" t="s">
        <v>397</v>
      </c>
      <c r="B7" s="67" t="str" cm="1">
        <f t="array" ref="B7">_xlfn.IFS(B6&lt;25,"1",B6&lt;47,"2",B6&lt;77,"3",B6&lt;114,"4",B6&lt;154,"5",B6&lt;195,"6",B6&lt;224,"7",B6&lt;279,"8",B6&lt;335,"9",B6&lt;395,"10",B6&lt;468,"11",B6&lt;535,"12",B6&lt;619,"13",B6&lt;667,"14",B6&lt;758,"15",B6&lt;854,"16",B6&lt;938,"17",B6&lt;1046,"18",B6&lt;1153,"19",B6&lt;1249,"20",B6&lt;1352,"21",B6&lt;1460,"22",B6&lt;1588,"23",B6&lt;1704,"24",B6&lt;1853,"25",B6&lt;1990,"26",B6&lt;2132,"27",B6&lt;2223,"28",B6&lt;2369,"29",B6&lt;2520,"30",B6&lt;2677,"31",B6&lt;2840,"32",B6&lt;3009,"33",B6&lt;3183,"34",B6&lt;3351,"35",B6&lt;3537,"36",B6&lt;3729,"37",B6&lt;3927,"38",B6&lt;4087,"39",B6&lt;4296,"40")</f>
        <v>5</v>
      </c>
      <c r="C7" s="1"/>
      <c r="D7" s="113"/>
      <c r="E7" s="114"/>
      <c r="F7" s="114"/>
      <c r="G7" s="115"/>
      <c r="H7" s="3"/>
      <c r="I7" s="35" t="s">
        <v>4</v>
      </c>
      <c r="J7" s="36" t="s">
        <v>13</v>
      </c>
      <c r="K7" s="47" t="s">
        <v>14</v>
      </c>
      <c r="L7" s="26" t="s">
        <v>93</v>
      </c>
      <c r="O7" s="24" t="s">
        <v>0</v>
      </c>
      <c r="P7" s="25" t="s">
        <v>1</v>
      </c>
      <c r="Q7" s="25" t="s">
        <v>2</v>
      </c>
      <c r="R7" s="26" t="s">
        <v>3</v>
      </c>
      <c r="S7" s="2" t="s">
        <v>411</v>
      </c>
      <c r="T7" s="77">
        <v>44405</v>
      </c>
      <c r="U7" s="82" t="s">
        <v>453</v>
      </c>
    </row>
    <row r="8" spans="1:267" ht="15.75" thickBot="1" x14ac:dyDescent="0.3">
      <c r="D8" s="123" t="s">
        <v>398</v>
      </c>
      <c r="E8" s="123"/>
      <c r="F8" s="123"/>
      <c r="G8" s="123"/>
      <c r="H8" s="3"/>
      <c r="I8" s="38" t="s">
        <v>5</v>
      </c>
      <c r="J8" s="33">
        <v>2</v>
      </c>
      <c r="K8" s="34" t="s">
        <v>17</v>
      </c>
      <c r="L8" s="37"/>
      <c r="O8" s="16">
        <v>1</v>
      </c>
      <c r="P8" s="15">
        <v>21</v>
      </c>
      <c r="Q8" s="15">
        <v>25</v>
      </c>
      <c r="R8" s="17">
        <v>10</v>
      </c>
    </row>
    <row r="9" spans="1:267" ht="15.75" thickBot="1" x14ac:dyDescent="0.3">
      <c r="A9" s="48" t="s">
        <v>14</v>
      </c>
      <c r="B9" s="49" t="s">
        <v>4</v>
      </c>
      <c r="C9" s="49" t="s">
        <v>13</v>
      </c>
      <c r="D9" s="50" t="s">
        <v>15</v>
      </c>
      <c r="E9" s="86" t="s">
        <v>455</v>
      </c>
      <c r="H9" s="3"/>
      <c r="I9" s="39" t="s">
        <v>6</v>
      </c>
      <c r="J9" s="7">
        <v>2</v>
      </c>
      <c r="K9" s="32" t="s">
        <v>92</v>
      </c>
      <c r="L9" s="40" t="s">
        <v>91</v>
      </c>
      <c r="O9" s="18">
        <v>2</v>
      </c>
      <c r="P9" s="6">
        <v>25</v>
      </c>
      <c r="Q9" s="6">
        <v>47</v>
      </c>
      <c r="R9" s="19">
        <v>20</v>
      </c>
    </row>
    <row r="10" spans="1:267" x14ac:dyDescent="0.25">
      <c r="A10" s="2" t="s">
        <v>18</v>
      </c>
      <c r="B10" s="11" t="str">
        <f>MID(B2,1,2)</f>
        <v>00</v>
      </c>
      <c r="C10" s="11" t="str">
        <f>MID(B2,LEN(B10)+1,2)</f>
        <v>02</v>
      </c>
      <c r="D10" s="10" t="str">
        <f>MID(B2,LEN(B10)+LEN(C10)+1,C10)</f>
        <v>01</v>
      </c>
      <c r="E10" s="11">
        <f>LEN(B10)+LEN(C10)+LEN(D10)</f>
        <v>6</v>
      </c>
      <c r="H10" s="3"/>
      <c r="I10" s="41" t="s">
        <v>27</v>
      </c>
      <c r="J10" s="7" t="s">
        <v>26</v>
      </c>
      <c r="K10" s="32" t="s">
        <v>28</v>
      </c>
      <c r="L10" s="37"/>
      <c r="O10" s="18">
        <v>3</v>
      </c>
      <c r="P10" s="6">
        <v>29</v>
      </c>
      <c r="Q10" s="6">
        <v>77</v>
      </c>
      <c r="R10" s="19">
        <v>35</v>
      </c>
    </row>
    <row r="11" spans="1:267" x14ac:dyDescent="0.25">
      <c r="A11" s="2" t="s">
        <v>112</v>
      </c>
      <c r="B11" s="11" t="str">
        <f>MID(B2,E10+1,2)</f>
        <v>01</v>
      </c>
      <c r="C11" s="11" t="str">
        <f>MID(B2,E10+LEN(B11)+1,2)</f>
        <v>02</v>
      </c>
      <c r="D11" s="10" t="str">
        <f>MID(B2,E10+LEN(B11)+LEN(C11)+1,_xlfn.NUMBERVALUE(C11))</f>
        <v>11</v>
      </c>
      <c r="E11" s="11">
        <f>LEN(B11)+LEN(C11)+LEN(D11)+E10</f>
        <v>12</v>
      </c>
      <c r="H11" s="3"/>
      <c r="I11" s="41" t="s">
        <v>29</v>
      </c>
      <c r="J11" s="7" t="s">
        <v>26</v>
      </c>
      <c r="K11" s="32" t="s">
        <v>28</v>
      </c>
      <c r="L11" s="37"/>
      <c r="O11" s="18">
        <v>4</v>
      </c>
      <c r="P11" s="6">
        <v>33</v>
      </c>
      <c r="Q11" s="6">
        <v>114</v>
      </c>
      <c r="R11" s="19">
        <v>50</v>
      </c>
    </row>
    <row r="12" spans="1:267" x14ac:dyDescent="0.25">
      <c r="A12" s="2" t="str">
        <f>MID(D12,5,MID(D12,3,2))</f>
        <v>SG.PAYNOW</v>
      </c>
      <c r="B12" s="11" t="str">
        <f>MID(B2,E11+1,2)</f>
        <v>26</v>
      </c>
      <c r="C12" s="11" t="str">
        <f>MID(B2,E11+LEN(B12)+1,2)</f>
        <v>38</v>
      </c>
      <c r="D12" s="10" t="str">
        <f>MID(B2,E11+LEN(B12)+LEN(C12)+1,_xlfn.NUMBERVALUE(C12))</f>
        <v>0009SG.PAYNOW010100211+658201438003011</v>
      </c>
      <c r="E12" s="11">
        <f>LEN(B12)+LEN(C12)+LEN(D12)+E11</f>
        <v>54</v>
      </c>
      <c r="H12" s="3"/>
      <c r="I12" s="41" t="s">
        <v>31</v>
      </c>
      <c r="J12" s="7" t="s">
        <v>26</v>
      </c>
      <c r="K12" s="32" t="s">
        <v>7</v>
      </c>
      <c r="L12" s="37"/>
      <c r="O12" s="18">
        <v>5</v>
      </c>
      <c r="P12" s="6">
        <v>37</v>
      </c>
      <c r="Q12" s="6">
        <v>154</v>
      </c>
      <c r="R12" s="19">
        <v>64</v>
      </c>
    </row>
    <row r="13" spans="1:267" x14ac:dyDescent="0.25">
      <c r="B13" s="11" t="str">
        <f>LEFT(D12,2)</f>
        <v>00</v>
      </c>
      <c r="C13" s="11" t="str">
        <f>MID(D12,3,2)</f>
        <v>09</v>
      </c>
      <c r="D13" s="10" t="str">
        <f>MID(D12,5,C13)</f>
        <v>SG.PAYNOW</v>
      </c>
      <c r="E13" s="11">
        <f>LEN(B13)+LEN(C13)+LEN(D13)</f>
        <v>13</v>
      </c>
      <c r="H13" s="3"/>
      <c r="I13" s="41" t="s">
        <v>30</v>
      </c>
      <c r="J13" s="7" t="s">
        <v>26</v>
      </c>
      <c r="K13" s="32" t="s">
        <v>7</v>
      </c>
      <c r="L13" s="37"/>
      <c r="O13" s="18">
        <v>6</v>
      </c>
      <c r="P13" s="6">
        <v>41</v>
      </c>
      <c r="Q13" s="6">
        <v>195</v>
      </c>
      <c r="R13" s="19">
        <v>84</v>
      </c>
    </row>
    <row r="14" spans="1:267" x14ac:dyDescent="0.25">
      <c r="B14" s="11" t="str">
        <f>MID(D12,1+E13,2)</f>
        <v>01</v>
      </c>
      <c r="C14" s="11" t="str">
        <f>MID(D12,3+E13,2)</f>
        <v>01</v>
      </c>
      <c r="D14" s="10" t="str">
        <f>MID(D12,5+E13,C14)</f>
        <v>0</v>
      </c>
      <c r="E14" s="11">
        <f>LEN(B14)+LEN(C14)+LEN(D14)+E13</f>
        <v>18</v>
      </c>
      <c r="H14" s="3"/>
      <c r="I14" s="41" t="s">
        <v>32</v>
      </c>
      <c r="J14" s="7" t="s">
        <v>26</v>
      </c>
      <c r="K14" s="32" t="s">
        <v>8</v>
      </c>
      <c r="L14" s="37"/>
      <c r="O14" s="18">
        <v>7</v>
      </c>
      <c r="P14" s="6">
        <v>45</v>
      </c>
      <c r="Q14" s="6">
        <v>224</v>
      </c>
      <c r="R14" s="19">
        <v>93</v>
      </c>
    </row>
    <row r="15" spans="1:267" x14ac:dyDescent="0.25">
      <c r="B15" s="11" t="str">
        <f>MID(D12,1+E14,2)</f>
        <v>02</v>
      </c>
      <c r="C15" s="11" t="str">
        <f>MID(D12,3+E14,2)</f>
        <v>11</v>
      </c>
      <c r="D15" s="10" t="str">
        <f>MID(D12,5+E14,C15)</f>
        <v>+6582014380</v>
      </c>
      <c r="E15" s="11">
        <f>LEN(B15)+LEN(C15)+LEN(D15)+E14</f>
        <v>33</v>
      </c>
      <c r="H15" s="3"/>
      <c r="I15" s="41" t="s">
        <v>33</v>
      </c>
      <c r="J15" s="7" t="s">
        <v>26</v>
      </c>
      <c r="K15" s="32" t="s">
        <v>8</v>
      </c>
      <c r="L15" s="37"/>
      <c r="O15" s="18">
        <v>8</v>
      </c>
      <c r="P15" s="6">
        <v>49</v>
      </c>
      <c r="Q15" s="6">
        <v>279</v>
      </c>
      <c r="R15" s="19">
        <v>122</v>
      </c>
    </row>
    <row r="16" spans="1:267" x14ac:dyDescent="0.25">
      <c r="B16" s="11" t="str">
        <f>MID(D12,1+E15,2)</f>
        <v>03</v>
      </c>
      <c r="C16" s="11" t="str">
        <f>MID(D12,3+E15,2)</f>
        <v>01</v>
      </c>
      <c r="D16" s="10" t="str">
        <f>MID(D12,5+E15,C16)</f>
        <v>1</v>
      </c>
      <c r="E16" s="11">
        <f>LEN(B16)+LEN(C16)+LEN(D16)+E15</f>
        <v>38</v>
      </c>
      <c r="H16" s="3"/>
      <c r="I16" s="41" t="s">
        <v>34</v>
      </c>
      <c r="J16" s="7" t="s">
        <v>26</v>
      </c>
      <c r="K16" s="32" t="s">
        <v>8</v>
      </c>
      <c r="L16" s="37"/>
      <c r="O16" s="18">
        <v>9</v>
      </c>
      <c r="P16" s="6">
        <v>53</v>
      </c>
      <c r="Q16" s="6">
        <v>335</v>
      </c>
      <c r="R16" s="19">
        <v>143</v>
      </c>
    </row>
    <row r="17" spans="1:18" x14ac:dyDescent="0.25">
      <c r="B17" s="11" t="str">
        <f>MID(D12,1+E16,2)</f>
        <v/>
      </c>
      <c r="C17" s="11" t="str">
        <f>MID(D12,3+E16,2)</f>
        <v/>
      </c>
      <c r="D17" s="10" t="str">
        <f>IFERROR(MID(D12,5+E16,C17),"")</f>
        <v/>
      </c>
      <c r="E17" s="11">
        <f>LEN(B17)+LEN(C17)+LEN(D17)+E16</f>
        <v>38</v>
      </c>
      <c r="H17" s="3"/>
      <c r="I17" s="41" t="s">
        <v>35</v>
      </c>
      <c r="J17" s="7" t="s">
        <v>26</v>
      </c>
      <c r="K17" s="32" t="s">
        <v>9</v>
      </c>
      <c r="L17" s="37"/>
      <c r="O17" s="18">
        <v>10</v>
      </c>
      <c r="P17" s="6">
        <v>57</v>
      </c>
      <c r="Q17" s="6">
        <v>395</v>
      </c>
      <c r="R17" s="19">
        <v>174</v>
      </c>
    </row>
    <row r="18" spans="1:18" x14ac:dyDescent="0.25">
      <c r="B18" s="11" t="str">
        <f>MID(D12,1+E17,2)</f>
        <v/>
      </c>
      <c r="C18" s="11" t="str">
        <f>MID(D12,3+E17,2)</f>
        <v/>
      </c>
      <c r="D18" s="10" t="str">
        <f>IFERROR(MID(D12,5+E17,C18),"")</f>
        <v/>
      </c>
      <c r="E18" s="11">
        <f>LEN(B18)+LEN(C18)+LEN(D18)+E17</f>
        <v>38</v>
      </c>
      <c r="H18" s="3"/>
      <c r="I18" s="41">
        <v>10</v>
      </c>
      <c r="J18" s="7" t="s">
        <v>26</v>
      </c>
      <c r="K18" s="32" t="s">
        <v>9</v>
      </c>
      <c r="L18" s="37"/>
      <c r="O18" s="18">
        <v>11</v>
      </c>
      <c r="P18" s="6">
        <v>61</v>
      </c>
      <c r="Q18" s="6">
        <v>468</v>
      </c>
      <c r="R18" s="19">
        <v>200</v>
      </c>
    </row>
    <row r="19" spans="1:18" x14ac:dyDescent="0.25">
      <c r="B19" s="11" t="str">
        <f>MID(B2,E12+1,2)</f>
        <v>53</v>
      </c>
      <c r="C19" s="11" t="str">
        <f>MID(B2,E12+LEN(B19)+1,2)</f>
        <v>03</v>
      </c>
      <c r="D19" s="3" t="str">
        <f>MID(B2,E12+LEN(B19)+LEN(C19)+1,_xlfn.NUMBERVALUE(C19))</f>
        <v>702</v>
      </c>
      <c r="E19" s="11">
        <f>LEN(B19)+LEN(C19)+LEN(D19)+E12</f>
        <v>61</v>
      </c>
      <c r="H19" s="3"/>
      <c r="I19" s="41">
        <v>11</v>
      </c>
      <c r="J19" s="7" t="s">
        <v>26</v>
      </c>
      <c r="K19" s="32" t="s">
        <v>10</v>
      </c>
      <c r="L19" s="37"/>
      <c r="O19" s="18">
        <v>12</v>
      </c>
      <c r="P19" s="6">
        <v>65</v>
      </c>
      <c r="Q19" s="6">
        <v>535</v>
      </c>
      <c r="R19" s="19">
        <v>227</v>
      </c>
    </row>
    <row r="20" spans="1:18" x14ac:dyDescent="0.25">
      <c r="A20" s="2" t="str">
        <f>IF(B20="62",RIGHT(VLOOKUP("62",B10:D78,3),LEN(VLOOKUP("62",B10:D78,3))-4),"")</f>
        <v/>
      </c>
      <c r="B20" s="11" t="str">
        <f>MID(B2,E19+1,2)</f>
        <v>54</v>
      </c>
      <c r="C20" s="11" t="str">
        <f>MID(B2,E19+LEN(B20)+1,2)</f>
        <v>05</v>
      </c>
      <c r="D20" s="10" t="str">
        <f>MID(B2,E19+LEN(B20)+LEN(C20)+1,_xlfn.NUMBERVALUE(C20))</f>
        <v>10.00</v>
      </c>
      <c r="E20" s="11">
        <f t="shared" ref="E20:E28" si="0">LEN(B20)+LEN(C20)+LEN(D20)+E19</f>
        <v>70</v>
      </c>
      <c r="H20" s="3"/>
      <c r="I20" s="41">
        <v>12</v>
      </c>
      <c r="J20" s="7" t="s">
        <v>26</v>
      </c>
      <c r="K20" s="32" t="s">
        <v>10</v>
      </c>
      <c r="L20" s="37"/>
      <c r="O20" s="18">
        <v>13</v>
      </c>
      <c r="P20" s="6">
        <v>69</v>
      </c>
      <c r="Q20" s="6">
        <v>619</v>
      </c>
      <c r="R20" s="19">
        <v>259</v>
      </c>
    </row>
    <row r="21" spans="1:18" x14ac:dyDescent="0.25">
      <c r="A21" s="2" t="str">
        <f>IF(B21="62",RIGHT(VLOOKUP("62",B10:D78,3),LEN(VLOOKUP("62",B10:D78,3))-4),"")</f>
        <v/>
      </c>
      <c r="B21" s="14" t="str">
        <f>MID(B2,E20+1,2)</f>
        <v>58</v>
      </c>
      <c r="C21" s="11" t="str">
        <f>MID(B2,E20+LEN(B21)+1,2)</f>
        <v>02</v>
      </c>
      <c r="D21" s="10" t="str">
        <f>MID(B2,E20+LEN(B21)+LEN(C21)+1,_xlfn.NUMBERVALUE(C21))</f>
        <v>SG</v>
      </c>
      <c r="E21" s="11">
        <f t="shared" si="0"/>
        <v>76</v>
      </c>
      <c r="H21" s="3"/>
      <c r="I21" s="41">
        <v>13</v>
      </c>
      <c r="J21" s="7" t="s">
        <v>26</v>
      </c>
      <c r="K21" s="32" t="s">
        <v>11</v>
      </c>
      <c r="L21" s="37"/>
      <c r="O21" s="18">
        <v>14</v>
      </c>
      <c r="P21" s="6">
        <v>73</v>
      </c>
      <c r="Q21" s="6">
        <v>667</v>
      </c>
      <c r="R21" s="19">
        <v>283</v>
      </c>
    </row>
    <row r="22" spans="1:18" x14ac:dyDescent="0.25">
      <c r="A22" s="2" t="str">
        <f>IF(B22="62",RIGHT(VLOOKUP("62",B10:D78,3),LEN(VLOOKUP("62",B10:D78,3))-4),"")</f>
        <v/>
      </c>
      <c r="B22" s="11" t="str">
        <f>MID(B2,E21+1,2)</f>
        <v>59</v>
      </c>
      <c r="C22" s="11" t="str">
        <f>MID(B2,E21+LEN(B22)+1,2)</f>
        <v>16</v>
      </c>
      <c r="D22" s="3" t="str">
        <f>MID(B2,E21+LEN(B22)+LEN(C22)+1,_xlfn.NUMBERVALUE(C22))</f>
        <v>QR PAYNOW MOBILE</v>
      </c>
      <c r="E22" s="11">
        <f t="shared" si="0"/>
        <v>96</v>
      </c>
      <c r="H22" s="3"/>
      <c r="I22" s="41">
        <v>14</v>
      </c>
      <c r="J22" s="7" t="s">
        <v>26</v>
      </c>
      <c r="K22" s="32" t="s">
        <v>11</v>
      </c>
      <c r="L22" s="37"/>
      <c r="O22" s="18">
        <v>15</v>
      </c>
      <c r="P22" s="6">
        <v>77</v>
      </c>
      <c r="Q22" s="7">
        <v>758</v>
      </c>
      <c r="R22" s="19">
        <v>321</v>
      </c>
    </row>
    <row r="23" spans="1:18" x14ac:dyDescent="0.25">
      <c r="A23" s="2" t="str">
        <f>IF(B23="62",RIGHT(VLOOKUP("62",B10:D78,3),LEN(VLOOKUP("62",B10:D78,3))-4),"")</f>
        <v/>
      </c>
      <c r="B23" s="11" t="str">
        <f>MID(B2,E22+1,2)</f>
        <v>60</v>
      </c>
      <c r="C23" s="11" t="str">
        <f>MID(B2,E22+LEN(B23)+1,2)</f>
        <v>09</v>
      </c>
      <c r="D23" s="3" t="str">
        <f>MID(B2,E22+LEN(B23)+LEN(C23)+1,_xlfn.NUMBERVALUE(C23))</f>
        <v>SINGAPORE</v>
      </c>
      <c r="E23" s="11">
        <f t="shared" si="0"/>
        <v>109</v>
      </c>
      <c r="H23" s="3"/>
      <c r="I23" s="41">
        <v>15</v>
      </c>
      <c r="J23" s="7" t="s">
        <v>26</v>
      </c>
      <c r="K23" s="32" t="s">
        <v>12</v>
      </c>
      <c r="L23" s="37"/>
      <c r="O23" s="18">
        <v>16</v>
      </c>
      <c r="P23" s="6">
        <v>81</v>
      </c>
      <c r="Q23" s="6">
        <v>854</v>
      </c>
      <c r="R23" s="19">
        <v>365</v>
      </c>
    </row>
    <row r="24" spans="1:18" x14ac:dyDescent="0.25">
      <c r="A24" s="2" t="str">
        <f>IF(B24="62",RIGHT(VLOOKUP("62",B10:D78,3),LEN(VLOOKUP("62",B10:D78,3))-4),"")</f>
        <v/>
      </c>
      <c r="B24" s="11" t="str">
        <f>MID(B2,E23+1,2)</f>
        <v>61</v>
      </c>
      <c r="C24" s="11" t="str">
        <f>MID(B2,E23+LEN(B24)+1,2)</f>
        <v>06</v>
      </c>
      <c r="D24" s="3" t="str">
        <f>MID(B2,E23+LEN(B24)+LEN(C24)+1,_xlfn.NUMBERVALUE(C24))</f>
        <v>081006</v>
      </c>
      <c r="E24" s="11">
        <f t="shared" si="0"/>
        <v>119</v>
      </c>
      <c r="H24" s="3"/>
      <c r="I24" s="41">
        <v>16</v>
      </c>
      <c r="J24" s="7" t="s">
        <v>26</v>
      </c>
      <c r="K24" s="32" t="s">
        <v>12</v>
      </c>
      <c r="L24" s="37"/>
      <c r="O24" s="18">
        <v>17</v>
      </c>
      <c r="P24" s="6">
        <v>85</v>
      </c>
      <c r="Q24" s="6">
        <v>938</v>
      </c>
      <c r="R24" s="19">
        <v>408</v>
      </c>
    </row>
    <row r="25" spans="1:18" x14ac:dyDescent="0.25">
      <c r="A25" s="2" t="str">
        <f>IF(B25="62",RIGHT(VLOOKUP("62",B10:D78,3),LEN(VLOOKUP("62",B10:D78,3))-4),"")</f>
        <v/>
      </c>
      <c r="B25" s="11" t="str">
        <f>MID(B2,E24+1,2)</f>
        <v>63</v>
      </c>
      <c r="C25" s="11" t="str">
        <f>MID(B2,E24+LEN(B25)+1,2)</f>
        <v>04</v>
      </c>
      <c r="D25" s="3" t="str">
        <f>MID(B2,E24+LEN(B25)+LEN(C25)+1,_xlfn.NUMBERVALUE(C25))</f>
        <v>8A6A</v>
      </c>
      <c r="E25" s="11">
        <f t="shared" si="0"/>
        <v>127</v>
      </c>
      <c r="I25" s="41">
        <v>17</v>
      </c>
      <c r="J25" s="7" t="s">
        <v>26</v>
      </c>
      <c r="K25" s="32" t="s">
        <v>8</v>
      </c>
      <c r="L25" s="37"/>
      <c r="O25" s="18">
        <v>18</v>
      </c>
      <c r="P25" s="6">
        <v>89</v>
      </c>
      <c r="Q25" s="6">
        <v>1046</v>
      </c>
      <c r="R25" s="19">
        <v>452</v>
      </c>
    </row>
    <row r="26" spans="1:18" x14ac:dyDescent="0.25">
      <c r="A26" s="2" t="str">
        <f>IF(B26="62",RIGHT(VLOOKUP("62",B10:D78,3),LEN(VLOOKUP("62",B10:D78,3))-4),"")</f>
        <v/>
      </c>
      <c r="B26" s="11" t="str">
        <f>MID(B2,E25+1,2)</f>
        <v/>
      </c>
      <c r="C26" s="11" t="str">
        <f>MID(B2,E25+LEN(B26)+1,2)</f>
        <v/>
      </c>
      <c r="D26" s="3" t="str">
        <f>MID(B2,E25+LEN(B26)+LEN(C26)+1,_xlfn.NUMBERVALUE(C26))</f>
        <v/>
      </c>
      <c r="E26" s="11">
        <f t="shared" si="0"/>
        <v>127</v>
      </c>
      <c r="I26" s="41" t="s">
        <v>42</v>
      </c>
      <c r="J26" s="7"/>
      <c r="K26" s="32"/>
      <c r="L26" s="37"/>
      <c r="O26" s="18">
        <v>19</v>
      </c>
      <c r="P26" s="6">
        <v>93</v>
      </c>
      <c r="Q26" s="6">
        <v>1153</v>
      </c>
      <c r="R26" s="19">
        <v>493</v>
      </c>
    </row>
    <row r="27" spans="1:18" x14ac:dyDescent="0.25">
      <c r="A27" s="2" t="str">
        <f>IF(B27="62",RIGHT(VLOOKUP("62",B10:D78,3),LEN(VLOOKUP("62",B10:D78,3))-4),"")</f>
        <v/>
      </c>
      <c r="B27" s="11" t="str">
        <f>MID(B2,E26+1,2)</f>
        <v/>
      </c>
      <c r="C27" s="11" t="str">
        <f>MID(B2,E26+LEN(B27)+1,2)</f>
        <v/>
      </c>
      <c r="D27" s="3" t="str">
        <f>MID(B2,E26+LEN(B27)+LEN(C27)+1,_xlfn.NUMBERVALUE(C27))</f>
        <v/>
      </c>
      <c r="E27" s="11">
        <f t="shared" si="0"/>
        <v>127</v>
      </c>
      <c r="I27" s="41">
        <v>25</v>
      </c>
      <c r="J27" s="7" t="s">
        <v>26</v>
      </c>
      <c r="K27" s="32" t="s">
        <v>8</v>
      </c>
      <c r="L27" s="37"/>
      <c r="O27" s="18">
        <v>20</v>
      </c>
      <c r="P27" s="6">
        <v>97</v>
      </c>
      <c r="Q27" s="6">
        <v>1249</v>
      </c>
      <c r="R27" s="19">
        <v>557</v>
      </c>
    </row>
    <row r="28" spans="1:18" x14ac:dyDescent="0.25">
      <c r="A28" s="2" t="str">
        <f>IF(B28="62",RIGHT(VLOOKUP("62",B10:D78,3),LEN(VLOOKUP("62",B10:D78,3))-4),"")</f>
        <v/>
      </c>
      <c r="B28" s="11" t="str">
        <f>MID(B2,E27+1,2)</f>
        <v/>
      </c>
      <c r="C28" s="11" t="str">
        <f>MID(B2,E27+LEN(B28)+1,2)</f>
        <v/>
      </c>
      <c r="D28" s="3" t="str">
        <f>MID(B2,E27+LEN(B28)+LEN(C28)+1,_xlfn.NUMBERVALUE(C28))</f>
        <v/>
      </c>
      <c r="E28" s="11">
        <f t="shared" si="0"/>
        <v>127</v>
      </c>
      <c r="I28" s="41">
        <v>26</v>
      </c>
      <c r="J28" s="7" t="s">
        <v>26</v>
      </c>
      <c r="K28" s="32" t="s">
        <v>19</v>
      </c>
      <c r="L28" s="37"/>
      <c r="O28" s="18">
        <v>21</v>
      </c>
      <c r="P28" s="6">
        <v>101</v>
      </c>
      <c r="Q28" s="6">
        <v>1352</v>
      </c>
      <c r="R28" s="19">
        <v>587</v>
      </c>
    </row>
    <row r="29" spans="1:18" x14ac:dyDescent="0.25">
      <c r="A29" s="2" t="str">
        <f>IF(B29="62",RIGHT(VLOOKUP("62",B10:D78,3),LEN(VLOOKUP("62",B10:D78,3))-4),"")</f>
        <v/>
      </c>
      <c r="B29" s="11" t="str">
        <f>MID(B2,E28+1,2)</f>
        <v/>
      </c>
      <c r="C29" s="11" t="str">
        <f>MID(B2,E28+LEN(B29)+1,2)</f>
        <v/>
      </c>
      <c r="D29" s="3" t="str">
        <f>MID(B2,E28+LEN(B29)+LEN(C29)+1,_xlfn.NUMBERVALUE(C29))</f>
        <v/>
      </c>
      <c r="E29" s="11">
        <f t="shared" ref="E29:E36" si="1">LEN(B29)+LEN(C29)+LEN(D29)</f>
        <v>0</v>
      </c>
      <c r="I29" s="41" t="s">
        <v>36</v>
      </c>
      <c r="J29" s="7" t="s">
        <v>26</v>
      </c>
      <c r="K29" s="32" t="s">
        <v>20</v>
      </c>
      <c r="L29" s="37"/>
      <c r="O29" s="18">
        <v>22</v>
      </c>
      <c r="P29" s="6">
        <v>105</v>
      </c>
      <c r="Q29" s="6">
        <v>1460</v>
      </c>
      <c r="R29" s="19">
        <v>640</v>
      </c>
    </row>
    <row r="30" spans="1:18" x14ac:dyDescent="0.25">
      <c r="E30" s="11">
        <f t="shared" si="1"/>
        <v>0</v>
      </c>
      <c r="I30" s="41" t="s">
        <v>37</v>
      </c>
      <c r="J30" s="7">
        <v>2</v>
      </c>
      <c r="K30" s="32" t="s">
        <v>21</v>
      </c>
      <c r="L30" s="37"/>
      <c r="O30" s="18">
        <v>23</v>
      </c>
      <c r="P30" s="6">
        <v>109</v>
      </c>
      <c r="Q30" s="6">
        <v>1588</v>
      </c>
      <c r="R30" s="20">
        <v>672</v>
      </c>
    </row>
    <row r="31" spans="1:18" x14ac:dyDescent="0.25">
      <c r="D31" s="9"/>
      <c r="E31" s="11">
        <f t="shared" si="1"/>
        <v>0</v>
      </c>
      <c r="I31" s="41" t="s">
        <v>38</v>
      </c>
      <c r="J31" s="7" t="s">
        <v>26</v>
      </c>
      <c r="K31" s="32" t="s">
        <v>22</v>
      </c>
      <c r="L31" s="37"/>
      <c r="O31" s="18">
        <v>24</v>
      </c>
      <c r="P31" s="6">
        <v>113</v>
      </c>
      <c r="Q31" s="6">
        <v>1704</v>
      </c>
      <c r="R31" s="19">
        <v>744</v>
      </c>
    </row>
    <row r="32" spans="1:18" x14ac:dyDescent="0.25">
      <c r="E32" s="11">
        <f t="shared" si="1"/>
        <v>0</v>
      </c>
      <c r="I32" s="41" t="s">
        <v>39</v>
      </c>
      <c r="J32" s="7">
        <v>1</v>
      </c>
      <c r="K32" s="32" t="s">
        <v>23</v>
      </c>
      <c r="L32" s="37"/>
      <c r="O32" s="18">
        <v>25</v>
      </c>
      <c r="P32" s="6">
        <v>117</v>
      </c>
      <c r="Q32" s="6">
        <v>1853</v>
      </c>
      <c r="R32" s="19">
        <v>779</v>
      </c>
    </row>
    <row r="33" spans="4:18" x14ac:dyDescent="0.25">
      <c r="E33" s="11">
        <f t="shared" si="1"/>
        <v>0</v>
      </c>
      <c r="I33" s="41" t="s">
        <v>40</v>
      </c>
      <c r="J33" s="7" t="s">
        <v>26</v>
      </c>
      <c r="K33" s="32" t="s">
        <v>24</v>
      </c>
      <c r="L33" s="37"/>
      <c r="O33" s="18">
        <v>26</v>
      </c>
      <c r="P33" s="6">
        <v>121</v>
      </c>
      <c r="Q33" s="6">
        <v>1990</v>
      </c>
      <c r="R33" s="19">
        <v>864</v>
      </c>
    </row>
    <row r="34" spans="4:18" x14ac:dyDescent="0.25">
      <c r="E34" s="11">
        <f t="shared" si="1"/>
        <v>0</v>
      </c>
      <c r="I34" s="41" t="s">
        <v>41</v>
      </c>
      <c r="J34" s="7" t="s">
        <v>26</v>
      </c>
      <c r="K34" s="32" t="s">
        <v>25</v>
      </c>
      <c r="L34" s="37"/>
      <c r="O34" s="18">
        <v>27</v>
      </c>
      <c r="P34" s="6">
        <v>125</v>
      </c>
      <c r="Q34" s="6">
        <v>2132</v>
      </c>
      <c r="R34" s="19">
        <v>910</v>
      </c>
    </row>
    <row r="35" spans="4:18" x14ac:dyDescent="0.25">
      <c r="E35" s="11">
        <f t="shared" si="1"/>
        <v>0</v>
      </c>
      <c r="I35" s="41">
        <v>27</v>
      </c>
      <c r="J35" s="7" t="s">
        <v>26</v>
      </c>
      <c r="K35" s="32" t="s">
        <v>19</v>
      </c>
      <c r="L35" s="37"/>
      <c r="O35" s="18">
        <v>28</v>
      </c>
      <c r="P35" s="6">
        <v>129</v>
      </c>
      <c r="Q35" s="6">
        <v>2223</v>
      </c>
      <c r="R35" s="19">
        <v>958</v>
      </c>
    </row>
    <row r="36" spans="4:18" x14ac:dyDescent="0.25">
      <c r="E36" s="11">
        <f t="shared" si="1"/>
        <v>0</v>
      </c>
      <c r="I36" s="41" t="s">
        <v>42</v>
      </c>
      <c r="J36" s="7"/>
      <c r="K36" s="32"/>
      <c r="L36" s="37"/>
      <c r="O36" s="18">
        <v>29</v>
      </c>
      <c r="P36" s="6">
        <v>133</v>
      </c>
      <c r="Q36" s="6">
        <v>2369</v>
      </c>
      <c r="R36" s="19">
        <v>1016</v>
      </c>
    </row>
    <row r="37" spans="4:18" x14ac:dyDescent="0.25">
      <c r="D37" s="10"/>
      <c r="I37" s="41">
        <v>51</v>
      </c>
      <c r="J37" s="7" t="s">
        <v>26</v>
      </c>
      <c r="K37" s="32" t="s">
        <v>19</v>
      </c>
      <c r="L37" s="37"/>
      <c r="O37" s="18">
        <v>30</v>
      </c>
      <c r="P37" s="6">
        <v>137</v>
      </c>
      <c r="Q37" s="6">
        <v>2520</v>
      </c>
      <c r="R37" s="19">
        <v>1080</v>
      </c>
    </row>
    <row r="38" spans="4:18" x14ac:dyDescent="0.25">
      <c r="I38" s="41">
        <v>52</v>
      </c>
      <c r="J38" s="7">
        <v>4</v>
      </c>
      <c r="K38" s="32" t="s">
        <v>386</v>
      </c>
      <c r="L38" s="37"/>
      <c r="O38" s="18">
        <v>31</v>
      </c>
      <c r="P38" s="6">
        <v>141</v>
      </c>
      <c r="Q38" s="6">
        <v>2677</v>
      </c>
      <c r="R38" s="19">
        <v>1150</v>
      </c>
    </row>
    <row r="39" spans="4:18" x14ac:dyDescent="0.25">
      <c r="I39" s="41">
        <v>53</v>
      </c>
      <c r="J39" s="7">
        <v>3</v>
      </c>
      <c r="K39" s="32" t="s">
        <v>44</v>
      </c>
      <c r="L39" s="37"/>
      <c r="O39" s="18">
        <v>32</v>
      </c>
      <c r="P39" s="6">
        <v>145</v>
      </c>
      <c r="Q39" s="6">
        <v>2840</v>
      </c>
      <c r="R39" s="19">
        <v>1226</v>
      </c>
    </row>
    <row r="40" spans="4:18" x14ac:dyDescent="0.25">
      <c r="I40" s="41">
        <v>54</v>
      </c>
      <c r="J40" s="7" t="s">
        <v>26</v>
      </c>
      <c r="K40" s="32" t="s">
        <v>45</v>
      </c>
      <c r="L40" s="37"/>
      <c r="O40" s="18">
        <v>33</v>
      </c>
      <c r="P40" s="6">
        <v>149</v>
      </c>
      <c r="Q40" s="6">
        <v>3009</v>
      </c>
      <c r="R40" s="19">
        <v>1307</v>
      </c>
    </row>
    <row r="41" spans="4:18" x14ac:dyDescent="0.25">
      <c r="I41" s="41">
        <v>55</v>
      </c>
      <c r="J41" s="7">
        <v>2</v>
      </c>
      <c r="K41" s="32" t="s">
        <v>46</v>
      </c>
      <c r="L41" s="37"/>
      <c r="O41" s="18">
        <v>34</v>
      </c>
      <c r="P41" s="6">
        <v>153</v>
      </c>
      <c r="Q41" s="6">
        <v>3183</v>
      </c>
      <c r="R41" s="19">
        <v>1394</v>
      </c>
    </row>
    <row r="42" spans="4:18" x14ac:dyDescent="0.25">
      <c r="I42" s="41">
        <v>56</v>
      </c>
      <c r="J42" s="7" t="s">
        <v>26</v>
      </c>
      <c r="K42" s="32" t="s">
        <v>47</v>
      </c>
      <c r="L42" s="37"/>
      <c r="O42" s="18">
        <v>35</v>
      </c>
      <c r="P42" s="6">
        <v>157</v>
      </c>
      <c r="Q42" s="6">
        <v>3351</v>
      </c>
      <c r="R42" s="19">
        <v>1431</v>
      </c>
    </row>
    <row r="43" spans="4:18" x14ac:dyDescent="0.25">
      <c r="I43" s="41">
        <v>57</v>
      </c>
      <c r="J43" s="7" t="s">
        <v>26</v>
      </c>
      <c r="K43" s="32" t="s">
        <v>48</v>
      </c>
      <c r="L43" s="37"/>
      <c r="O43" s="18">
        <v>36</v>
      </c>
      <c r="P43" s="6">
        <v>161</v>
      </c>
      <c r="Q43" s="6">
        <v>3537</v>
      </c>
      <c r="R43" s="19">
        <v>1530</v>
      </c>
    </row>
    <row r="44" spans="4:18" x14ac:dyDescent="0.25">
      <c r="I44" s="41">
        <v>58</v>
      </c>
      <c r="J44" s="7">
        <v>2</v>
      </c>
      <c r="K44" s="32" t="s">
        <v>49</v>
      </c>
      <c r="L44" s="37"/>
      <c r="O44" s="18">
        <v>37</v>
      </c>
      <c r="P44" s="6">
        <v>165</v>
      </c>
      <c r="Q44" s="6">
        <v>3729</v>
      </c>
      <c r="R44" s="19">
        <v>1591</v>
      </c>
    </row>
    <row r="45" spans="4:18" x14ac:dyDescent="0.25">
      <c r="I45" s="41">
        <v>59</v>
      </c>
      <c r="J45" s="7" t="s">
        <v>26</v>
      </c>
      <c r="K45" s="32" t="s">
        <v>50</v>
      </c>
      <c r="L45" s="37"/>
      <c r="O45" s="18">
        <v>38</v>
      </c>
      <c r="P45" s="6">
        <v>169</v>
      </c>
      <c r="Q45" s="6">
        <v>3927</v>
      </c>
      <c r="R45" s="19">
        <v>1658</v>
      </c>
    </row>
    <row r="46" spans="4:18" x14ac:dyDescent="0.25">
      <c r="I46" s="41">
        <v>60</v>
      </c>
      <c r="J46" s="7" t="s">
        <v>26</v>
      </c>
      <c r="K46" s="32" t="s">
        <v>51</v>
      </c>
      <c r="L46" s="37"/>
      <c r="O46" s="18">
        <v>39</v>
      </c>
      <c r="P46" s="6">
        <v>173</v>
      </c>
      <c r="Q46" s="6">
        <v>4087</v>
      </c>
      <c r="R46" s="19">
        <v>1774</v>
      </c>
    </row>
    <row r="47" spans="4:18" ht="15.75" thickBot="1" x14ac:dyDescent="0.3">
      <c r="I47" s="41">
        <v>61</v>
      </c>
      <c r="J47" s="7" t="s">
        <v>26</v>
      </c>
      <c r="K47" s="32" t="s">
        <v>52</v>
      </c>
      <c r="L47" s="37"/>
      <c r="O47" s="21">
        <v>40</v>
      </c>
      <c r="P47" s="22">
        <v>177</v>
      </c>
      <c r="Q47" s="22">
        <v>4296</v>
      </c>
      <c r="R47" s="23">
        <v>1852</v>
      </c>
    </row>
    <row r="48" spans="4:18" x14ac:dyDescent="0.25">
      <c r="I48" s="41">
        <v>62</v>
      </c>
      <c r="J48" s="7" t="s">
        <v>26</v>
      </c>
      <c r="K48" s="32" t="s">
        <v>53</v>
      </c>
      <c r="L48" s="37"/>
    </row>
    <row r="49" spans="9:12" x14ac:dyDescent="0.25">
      <c r="I49" s="41" t="s">
        <v>98</v>
      </c>
      <c r="J49" s="7" t="s">
        <v>26</v>
      </c>
      <c r="K49" s="32" t="s">
        <v>99</v>
      </c>
      <c r="L49" s="37"/>
    </row>
    <row r="50" spans="9:12" x14ac:dyDescent="0.25">
      <c r="I50" s="41" t="s">
        <v>54</v>
      </c>
      <c r="J50" s="7" t="s">
        <v>26</v>
      </c>
      <c r="K50" s="32" t="s">
        <v>55</v>
      </c>
      <c r="L50" s="119" t="s">
        <v>77</v>
      </c>
    </row>
    <row r="51" spans="9:12" x14ac:dyDescent="0.25">
      <c r="I51" s="41" t="s">
        <v>56</v>
      </c>
      <c r="J51" s="7" t="s">
        <v>26</v>
      </c>
      <c r="K51" s="32" t="s">
        <v>57</v>
      </c>
      <c r="L51" s="119"/>
    </row>
    <row r="52" spans="9:12" x14ac:dyDescent="0.25">
      <c r="I52" s="41" t="s">
        <v>58</v>
      </c>
      <c r="J52" s="7" t="s">
        <v>26</v>
      </c>
      <c r="K52" s="32" t="s">
        <v>59</v>
      </c>
      <c r="L52" s="119"/>
    </row>
    <row r="53" spans="9:12" x14ac:dyDescent="0.25">
      <c r="I53" s="41" t="s">
        <v>60</v>
      </c>
      <c r="J53" s="7" t="s">
        <v>26</v>
      </c>
      <c r="K53" s="32" t="s">
        <v>61</v>
      </c>
      <c r="L53" s="119"/>
    </row>
    <row r="54" spans="9:12" x14ac:dyDescent="0.25">
      <c r="I54" s="41" t="s">
        <v>62</v>
      </c>
      <c r="J54" s="7" t="s">
        <v>26</v>
      </c>
      <c r="K54" s="32" t="s">
        <v>63</v>
      </c>
      <c r="L54" s="119"/>
    </row>
    <row r="55" spans="9:12" x14ac:dyDescent="0.25">
      <c r="I55" s="41" t="s">
        <v>64</v>
      </c>
      <c r="J55" s="7" t="s">
        <v>26</v>
      </c>
      <c r="K55" s="32" t="s">
        <v>65</v>
      </c>
      <c r="L55" s="119"/>
    </row>
    <row r="56" spans="9:12" x14ac:dyDescent="0.25">
      <c r="I56" s="41" t="s">
        <v>66</v>
      </c>
      <c r="J56" s="7" t="s">
        <v>26</v>
      </c>
      <c r="K56" s="32" t="s">
        <v>67</v>
      </c>
      <c r="L56" s="119"/>
    </row>
    <row r="57" spans="9:12" x14ac:dyDescent="0.25">
      <c r="I57" s="41" t="s">
        <v>68</v>
      </c>
      <c r="J57" s="7" t="s">
        <v>26</v>
      </c>
      <c r="K57" s="32" t="s">
        <v>69</v>
      </c>
      <c r="L57" s="119"/>
    </row>
    <row r="58" spans="9:12" ht="45" x14ac:dyDescent="0.25">
      <c r="I58" s="41" t="s">
        <v>70</v>
      </c>
      <c r="J58" s="7" t="s">
        <v>26</v>
      </c>
      <c r="K58" s="32" t="s">
        <v>71</v>
      </c>
      <c r="L58" s="42" t="s">
        <v>78</v>
      </c>
    </row>
    <row r="59" spans="9:12" x14ac:dyDescent="0.25">
      <c r="I59" s="41" t="s">
        <v>72</v>
      </c>
      <c r="J59" s="7"/>
      <c r="K59" s="32" t="s">
        <v>88</v>
      </c>
      <c r="L59" s="37"/>
    </row>
    <row r="60" spans="9:12" x14ac:dyDescent="0.25">
      <c r="I60" s="41" t="s">
        <v>42</v>
      </c>
      <c r="J60" s="7"/>
      <c r="K60" s="32"/>
      <c r="L60" s="37"/>
    </row>
    <row r="61" spans="9:12" x14ac:dyDescent="0.25">
      <c r="I61" s="41" t="s">
        <v>73</v>
      </c>
      <c r="J61" s="7"/>
      <c r="K61" s="32" t="s">
        <v>88</v>
      </c>
      <c r="L61" s="37"/>
    </row>
    <row r="62" spans="9:12" x14ac:dyDescent="0.25">
      <c r="I62" s="41" t="s">
        <v>74</v>
      </c>
      <c r="J62" s="7"/>
      <c r="K62" s="32" t="s">
        <v>75</v>
      </c>
      <c r="L62" s="37"/>
    </row>
    <row r="63" spans="9:12" x14ac:dyDescent="0.25">
      <c r="I63" s="41" t="s">
        <v>42</v>
      </c>
      <c r="J63" s="7"/>
      <c r="K63" s="32"/>
      <c r="L63" s="37"/>
    </row>
    <row r="64" spans="9:12" x14ac:dyDescent="0.25">
      <c r="I64" s="41" t="s">
        <v>76</v>
      </c>
      <c r="J64" s="7"/>
      <c r="K64" s="32" t="s">
        <v>75</v>
      </c>
      <c r="L64" s="37"/>
    </row>
    <row r="65" spans="9:12" x14ac:dyDescent="0.25">
      <c r="I65" s="41">
        <v>63</v>
      </c>
      <c r="J65" s="7">
        <v>4</v>
      </c>
      <c r="K65" s="32" t="s">
        <v>79</v>
      </c>
      <c r="L65" s="37"/>
    </row>
    <row r="66" spans="9:12" x14ac:dyDescent="0.25">
      <c r="I66" s="41">
        <v>64</v>
      </c>
      <c r="J66" s="7" t="s">
        <v>26</v>
      </c>
      <c r="K66" s="32" t="s">
        <v>80</v>
      </c>
      <c r="L66" s="37"/>
    </row>
    <row r="67" spans="9:12" x14ac:dyDescent="0.25">
      <c r="I67" s="41" t="s">
        <v>81</v>
      </c>
      <c r="J67" s="7">
        <v>2</v>
      </c>
      <c r="K67" s="32" t="s">
        <v>82</v>
      </c>
      <c r="L67" s="37"/>
    </row>
    <row r="68" spans="9:12" x14ac:dyDescent="0.25">
      <c r="I68" s="41" t="s">
        <v>83</v>
      </c>
      <c r="J68" s="7" t="s">
        <v>26</v>
      </c>
      <c r="K68" s="32" t="s">
        <v>84</v>
      </c>
      <c r="L68" s="37"/>
    </row>
    <row r="69" spans="9:12" x14ac:dyDescent="0.25">
      <c r="I69" s="41" t="s">
        <v>85</v>
      </c>
      <c r="J69" s="7" t="s">
        <v>26</v>
      </c>
      <c r="K69" s="32" t="s">
        <v>86</v>
      </c>
      <c r="L69" s="37"/>
    </row>
    <row r="70" spans="9:12" x14ac:dyDescent="0.25">
      <c r="I70" s="41" t="s">
        <v>87</v>
      </c>
      <c r="J70" s="7" t="s">
        <v>26</v>
      </c>
      <c r="K70" s="32" t="s">
        <v>88</v>
      </c>
      <c r="L70" s="37"/>
    </row>
    <row r="71" spans="9:12" x14ac:dyDescent="0.25">
      <c r="I71" s="41" t="s">
        <v>42</v>
      </c>
      <c r="J71" s="7"/>
      <c r="K71" s="32"/>
      <c r="L71" s="37"/>
    </row>
    <row r="72" spans="9:12" x14ac:dyDescent="0.25">
      <c r="I72" s="41" t="s">
        <v>89</v>
      </c>
      <c r="J72" s="7" t="s">
        <v>26</v>
      </c>
      <c r="K72" s="32" t="s">
        <v>88</v>
      </c>
      <c r="L72" s="37"/>
    </row>
    <row r="73" spans="9:12" x14ac:dyDescent="0.25">
      <c r="I73" s="41">
        <v>65</v>
      </c>
      <c r="J73" s="7" t="s">
        <v>26</v>
      </c>
      <c r="K73" s="32" t="s">
        <v>88</v>
      </c>
      <c r="L73" s="37"/>
    </row>
    <row r="74" spans="9:12" x14ac:dyDescent="0.25">
      <c r="I74" s="41" t="s">
        <v>42</v>
      </c>
      <c r="J74" s="7"/>
      <c r="K74" s="32"/>
      <c r="L74" s="37"/>
    </row>
    <row r="75" spans="9:12" x14ac:dyDescent="0.25">
      <c r="I75" s="41">
        <v>79</v>
      </c>
      <c r="J75" s="7" t="s">
        <v>26</v>
      </c>
      <c r="K75" s="32" t="s">
        <v>88</v>
      </c>
      <c r="L75" s="37"/>
    </row>
    <row r="76" spans="9:12" x14ac:dyDescent="0.25">
      <c r="I76" s="41">
        <v>80</v>
      </c>
      <c r="J76" s="7" t="s">
        <v>26</v>
      </c>
      <c r="K76" s="32" t="s">
        <v>90</v>
      </c>
      <c r="L76" s="37"/>
    </row>
    <row r="77" spans="9:12" x14ac:dyDescent="0.25">
      <c r="I77" s="41" t="s">
        <v>42</v>
      </c>
      <c r="J77" s="7"/>
      <c r="K77" s="32"/>
      <c r="L77" s="37"/>
    </row>
    <row r="78" spans="9:12" ht="15.75" thickBot="1" x14ac:dyDescent="0.3">
      <c r="I78" s="43">
        <v>99</v>
      </c>
      <c r="J78" s="44" t="s">
        <v>26</v>
      </c>
      <c r="K78" s="45" t="s">
        <v>90</v>
      </c>
      <c r="L78" s="46"/>
    </row>
  </sheetData>
  <mergeCells count="6">
    <mergeCell ref="B4:F4"/>
    <mergeCell ref="D6:G7"/>
    <mergeCell ref="I6:L6"/>
    <mergeCell ref="L50:L57"/>
    <mergeCell ref="O6:R6"/>
    <mergeCell ref="D8:G8"/>
  </mergeCells>
  <phoneticPr fontId="4" type="noConversion"/>
  <conditionalFormatting sqref="B4">
    <cfRule type="containsText" dxfId="2" priority="2" operator="containsText" text="INVALID">
      <formula>NOT(ISERROR(SEARCH("INVALID",B4)))</formula>
    </cfRule>
    <cfRule type="containsText" dxfId="1" priority="3" operator="containsText" text="VALID">
      <formula>NOT(ISERROR(SEARCH("VALID",B4)))</formula>
    </cfRule>
  </conditionalFormatting>
  <conditionalFormatting sqref="B4">
    <cfRule type="containsText" dxfId="0" priority="1" operator="containsText" text="NETS QR">
      <formula>NOT(ISERROR(SEARCH("NETS QR",B4)))</formula>
    </cfRule>
  </conditionalFormatting>
  <pageMargins left="0.7" right="0.7" top="0.75" bottom="0.75" header="0.3" footer="0.3"/>
  <pageSetup orientation="portrait" r:id="rId1"/>
  <ignoredErrors>
    <ignoredError sqref="E13" formula="1"/>
    <ignoredError sqref="I8:I17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DC93E-22B8-42BD-8753-B4ABB9618346}">
  <sheetPr codeName="Encode"/>
  <dimension ref="B2:JB1732"/>
  <sheetViews>
    <sheetView tabSelected="1" workbookViewId="0">
      <selection activeCell="G10" sqref="G10"/>
    </sheetView>
  </sheetViews>
  <sheetFormatPr defaultRowHeight="15" x14ac:dyDescent="0.25"/>
  <cols>
    <col min="1" max="1" width="3" style="1" customWidth="1"/>
    <col min="2" max="2" width="32.85546875" style="4" bestFit="1" customWidth="1"/>
    <col min="3" max="4" width="12.7109375" style="52" customWidth="1"/>
    <col min="5" max="5" width="12.7109375" style="4" customWidth="1"/>
    <col min="6" max="6" width="23.7109375" style="5" customWidth="1"/>
    <col min="7" max="7" width="28.140625" style="1" customWidth="1"/>
    <col min="8" max="8" width="24.42578125" style="100" bestFit="1" customWidth="1"/>
    <col min="9" max="9" width="13.7109375" style="4" customWidth="1"/>
    <col min="10" max="10" width="32.7109375" style="68" bestFit="1" customWidth="1"/>
    <col min="11" max="12" width="9.140625" style="1"/>
    <col min="13" max="15" width="9.140625" style="1" customWidth="1"/>
    <col min="16" max="16" width="9.140625" style="2" customWidth="1"/>
    <col min="17" max="17" width="8.140625" style="79" bestFit="1" customWidth="1"/>
    <col min="18" max="18" width="11.28515625" style="3" bestFit="1" customWidth="1"/>
    <col min="19" max="19" width="9.140625" style="82" customWidth="1"/>
    <col min="20" max="20" width="14.140625" style="1" bestFit="1" customWidth="1"/>
    <col min="21" max="269" width="9.140625" style="1" customWidth="1"/>
    <col min="270" max="16384" width="9.140625" style="1"/>
  </cols>
  <sheetData>
    <row r="2" spans="2:262" x14ac:dyDescent="0.25">
      <c r="B2" s="8" t="s">
        <v>376</v>
      </c>
      <c r="C2" s="10" t="str">
        <f>_xlfn.TEXTJOIN("",TRUE,G8:G42,G143:G183) &amp; "6304" &amp; C3</f>
        <v>00020101021126400009SG.PAYNOW0101202130200062202OC103011520458145303702540510.205802SG5913PAYNOW UEN QR6009SINGAPORE61060810066304A8F2</v>
      </c>
      <c r="G2" s="9"/>
    </row>
    <row r="3" spans="2:262" x14ac:dyDescent="0.25">
      <c r="B3" s="53" t="s">
        <v>100</v>
      </c>
      <c r="C3" s="52" t="s">
        <v>677</v>
      </c>
      <c r="D3" s="54" t="s">
        <v>102</v>
      </c>
      <c r="E3" s="4" t="str" cm="1">
        <f t="array" ref="E3">_xlfn.IFS(LEN(C2)&lt;25,"1",LEN(C2)&lt;47,"2",LEN(C2)&lt;77,"3",LEN(C2)&lt;114,"4",LEN(C2)&lt;154,"5",LEN(C2)&lt;195,"6",LEN(C2)&lt;224,"7",LEN(C2)&lt;279,"8",LEN(C2)&lt;335,"9",LEN(C2)&lt;395,"10",LEN(C2)&lt;468,"11",LEN(C2)&lt;535,"12",LEN(C2)&lt;619,"13",LEN(C2)&lt;667,"14",LEN(C2)&lt;758,"15",LEN(C2)&lt;854,"16",LEN(C2)&lt;938,"17",LEN(C2)&lt;1046,"18",LEN(C2)&lt;1153,"19",LEN(C2)&lt;1249,"20",LEN(C2)&lt;1352,"21",LEN(C2)&lt;1460,"22",LEN(C2)&lt;1588,"23",LEN(C2)&lt;1704,"24",LEN(C2)&lt;1853,"25",LEN(C2)&lt;1990,"26",LEN(C2)&lt;2132,"27",LEN(C2)&lt;2223,"28",LEN(C2)&lt;2369,"29",LEN(C2)&lt;2520,"30",LEN(C2)&lt;2677,"31",LEN(C2)&lt;2840,"32",LEN(C2)&lt;3009,"33",LEN(C2)&lt;3183,"34",LEN(C2)&lt;3351,"35",LEN(C2)&lt;3537,"36",LEN(C2)&lt;3729,"37",LEN(C2)&lt;3927,"38",LEN(C2)&lt;4087,"39",LEN(C2)&lt;4296,"40")</f>
        <v>5</v>
      </c>
      <c r="F3" s="56" t="s">
        <v>405</v>
      </c>
      <c r="G3" s="10" t="str">
        <f>_xlfn.TEXTJOIN("",TRUE,G8:G42,G143:G183) &amp; "6304"</f>
        <v>00020101021126400009SG.PAYNOW0101202130200062202OC103011520458145303702540510.205802SG5913PAYNOW UEN QR6009SINGAPORE61060810066304</v>
      </c>
    </row>
    <row r="4" spans="2:262" x14ac:dyDescent="0.25">
      <c r="B4" s="53" t="s">
        <v>109</v>
      </c>
      <c r="C4" s="52">
        <v>1021</v>
      </c>
      <c r="D4" s="54" t="s">
        <v>110</v>
      </c>
      <c r="E4" s="4" t="s">
        <v>111</v>
      </c>
      <c r="F4" s="73" t="s">
        <v>407</v>
      </c>
      <c r="G4" t="s">
        <v>113</v>
      </c>
      <c r="H4" s="101" t="s">
        <v>114</v>
      </c>
      <c r="I4" t="s">
        <v>115</v>
      </c>
      <c r="J4" t="s">
        <v>116</v>
      </c>
      <c r="K4" t="s">
        <v>117</v>
      </c>
      <c r="L4" t="s">
        <v>118</v>
      </c>
      <c r="M4" t="s">
        <v>119</v>
      </c>
      <c r="N4" t="s">
        <v>120</v>
      </c>
      <c r="O4" t="s">
        <v>121</v>
      </c>
      <c r="P4" s="78" t="s">
        <v>122</v>
      </c>
      <c r="Q4" s="80" t="s">
        <v>123</v>
      </c>
      <c r="R4" s="81" t="s">
        <v>124</v>
      </c>
      <c r="S4" s="83" t="s">
        <v>125</v>
      </c>
      <c r="T4" t="s">
        <v>126</v>
      </c>
      <c r="U4" t="s">
        <v>127</v>
      </c>
      <c r="V4" t="s">
        <v>128</v>
      </c>
      <c r="W4" t="s">
        <v>129</v>
      </c>
      <c r="X4" t="s">
        <v>130</v>
      </c>
      <c r="Y4" t="s">
        <v>131</v>
      </c>
      <c r="Z4" t="s">
        <v>132</v>
      </c>
      <c r="AA4" t="s">
        <v>133</v>
      </c>
      <c r="AB4" t="s">
        <v>134</v>
      </c>
      <c r="AC4" t="s">
        <v>135</v>
      </c>
      <c r="AD4" t="s">
        <v>136</v>
      </c>
      <c r="AE4" t="s">
        <v>137</v>
      </c>
      <c r="AF4" t="s">
        <v>138</v>
      </c>
      <c r="AG4" t="s">
        <v>139</v>
      </c>
      <c r="AH4" t="s">
        <v>140</v>
      </c>
      <c r="AI4" t="s">
        <v>141</v>
      </c>
      <c r="AJ4" t="s">
        <v>142</v>
      </c>
      <c r="AK4" t="s">
        <v>143</v>
      </c>
      <c r="AL4" t="s">
        <v>144</v>
      </c>
      <c r="AM4" t="s">
        <v>145</v>
      </c>
      <c r="AN4" t="s">
        <v>146</v>
      </c>
      <c r="AO4" t="s">
        <v>147</v>
      </c>
      <c r="AP4" t="s">
        <v>148</v>
      </c>
      <c r="AQ4" t="s">
        <v>149</v>
      </c>
      <c r="AR4" t="s">
        <v>150</v>
      </c>
      <c r="AS4" t="s">
        <v>151</v>
      </c>
      <c r="AT4" t="s">
        <v>152</v>
      </c>
      <c r="AU4" t="s">
        <v>153</v>
      </c>
      <c r="AV4" t="s">
        <v>154</v>
      </c>
      <c r="AW4" t="s">
        <v>155</v>
      </c>
      <c r="AX4" t="s">
        <v>156</v>
      </c>
      <c r="AY4" t="s">
        <v>157</v>
      </c>
      <c r="AZ4" t="s">
        <v>158</v>
      </c>
      <c r="BA4" t="s">
        <v>159</v>
      </c>
      <c r="BB4" t="s">
        <v>160</v>
      </c>
      <c r="BC4" t="s">
        <v>161</v>
      </c>
      <c r="BD4" t="s">
        <v>162</v>
      </c>
      <c r="BE4" t="s">
        <v>163</v>
      </c>
      <c r="BF4" t="s">
        <v>164</v>
      </c>
      <c r="BG4" t="s">
        <v>165</v>
      </c>
      <c r="BH4" t="s">
        <v>166</v>
      </c>
      <c r="BI4" t="s">
        <v>167</v>
      </c>
      <c r="BJ4" t="s">
        <v>168</v>
      </c>
      <c r="BK4" t="s">
        <v>169</v>
      </c>
      <c r="BL4" t="s">
        <v>170</v>
      </c>
      <c r="BM4" t="s">
        <v>171</v>
      </c>
      <c r="BN4" t="s">
        <v>172</v>
      </c>
      <c r="BO4" t="s">
        <v>173</v>
      </c>
      <c r="BP4" t="s">
        <v>174</v>
      </c>
      <c r="BQ4" t="s">
        <v>175</v>
      </c>
      <c r="BR4" t="s">
        <v>176</v>
      </c>
      <c r="BS4" t="s">
        <v>177</v>
      </c>
      <c r="BT4" t="s">
        <v>178</v>
      </c>
      <c r="BU4" t="s">
        <v>179</v>
      </c>
      <c r="BV4" t="s">
        <v>180</v>
      </c>
      <c r="BW4" t="s">
        <v>181</v>
      </c>
      <c r="BX4" t="s">
        <v>182</v>
      </c>
      <c r="BY4" t="s">
        <v>183</v>
      </c>
      <c r="BZ4" t="s">
        <v>184</v>
      </c>
      <c r="CA4" t="s">
        <v>185</v>
      </c>
      <c r="CB4" t="s">
        <v>186</v>
      </c>
      <c r="CC4" t="s">
        <v>187</v>
      </c>
      <c r="CD4" t="s">
        <v>188</v>
      </c>
      <c r="CE4" t="s">
        <v>189</v>
      </c>
      <c r="CF4" t="s">
        <v>190</v>
      </c>
      <c r="CG4" t="s">
        <v>191</v>
      </c>
      <c r="CH4" t="s">
        <v>192</v>
      </c>
      <c r="CI4" t="s">
        <v>193</v>
      </c>
      <c r="CJ4" t="s">
        <v>194</v>
      </c>
      <c r="CK4" t="s">
        <v>195</v>
      </c>
      <c r="CL4" t="s">
        <v>196</v>
      </c>
      <c r="CM4" t="s">
        <v>197</v>
      </c>
      <c r="CN4" t="s">
        <v>198</v>
      </c>
      <c r="CO4" t="s">
        <v>199</v>
      </c>
      <c r="CP4" t="s">
        <v>200</v>
      </c>
      <c r="CQ4" t="s">
        <v>201</v>
      </c>
      <c r="CR4" t="s">
        <v>202</v>
      </c>
      <c r="CS4" t="s">
        <v>203</v>
      </c>
      <c r="CT4" t="s">
        <v>204</v>
      </c>
      <c r="CU4" t="s">
        <v>205</v>
      </c>
      <c r="CV4" t="s">
        <v>206</v>
      </c>
      <c r="CW4" t="s">
        <v>207</v>
      </c>
      <c r="CX4" t="s">
        <v>208</v>
      </c>
      <c r="CY4" t="s">
        <v>209</v>
      </c>
      <c r="CZ4" t="s">
        <v>210</v>
      </c>
      <c r="DA4" t="s">
        <v>211</v>
      </c>
      <c r="DB4" t="s">
        <v>212</v>
      </c>
      <c r="DC4" t="s">
        <v>213</v>
      </c>
      <c r="DD4" t="s">
        <v>214</v>
      </c>
      <c r="DE4" t="s">
        <v>215</v>
      </c>
      <c r="DF4" t="s">
        <v>216</v>
      </c>
      <c r="DG4" t="s">
        <v>217</v>
      </c>
      <c r="DH4" t="s">
        <v>218</v>
      </c>
      <c r="DI4" t="s">
        <v>219</v>
      </c>
      <c r="DJ4" t="s">
        <v>220</v>
      </c>
      <c r="DK4" t="s">
        <v>221</v>
      </c>
      <c r="DL4" t="s">
        <v>222</v>
      </c>
      <c r="DM4" t="s">
        <v>223</v>
      </c>
      <c r="DN4" t="s">
        <v>224</v>
      </c>
      <c r="DO4" t="s">
        <v>225</v>
      </c>
      <c r="DP4" t="s">
        <v>226</v>
      </c>
      <c r="DQ4" t="s">
        <v>227</v>
      </c>
      <c r="DR4" t="s">
        <v>228</v>
      </c>
      <c r="DS4" t="s">
        <v>229</v>
      </c>
      <c r="DT4" t="s">
        <v>230</v>
      </c>
      <c r="DU4" t="s">
        <v>231</v>
      </c>
      <c r="DV4" t="s">
        <v>232</v>
      </c>
      <c r="DW4" t="s">
        <v>233</v>
      </c>
      <c r="DX4" t="s">
        <v>234</v>
      </c>
      <c r="DY4" t="s">
        <v>235</v>
      </c>
      <c r="DZ4" t="s">
        <v>236</v>
      </c>
      <c r="EA4" t="s">
        <v>237</v>
      </c>
      <c r="EB4" t="s">
        <v>238</v>
      </c>
      <c r="EC4" t="s">
        <v>239</v>
      </c>
      <c r="ED4" t="s">
        <v>240</v>
      </c>
      <c r="EE4" t="s">
        <v>241</v>
      </c>
      <c r="EF4" t="s">
        <v>242</v>
      </c>
      <c r="EG4" t="s">
        <v>243</v>
      </c>
      <c r="EH4" t="s">
        <v>244</v>
      </c>
      <c r="EI4" t="s">
        <v>245</v>
      </c>
      <c r="EJ4" t="s">
        <v>246</v>
      </c>
      <c r="EK4" t="s">
        <v>247</v>
      </c>
      <c r="EL4" t="s">
        <v>248</v>
      </c>
      <c r="EM4" t="s">
        <v>249</v>
      </c>
      <c r="EN4" t="s">
        <v>250</v>
      </c>
      <c r="EO4" t="s">
        <v>251</v>
      </c>
      <c r="EP4" t="s">
        <v>252</v>
      </c>
      <c r="EQ4" t="s">
        <v>253</v>
      </c>
      <c r="ER4" t="s">
        <v>254</v>
      </c>
      <c r="ES4" t="s">
        <v>255</v>
      </c>
      <c r="ET4" t="s">
        <v>256</v>
      </c>
      <c r="EU4" t="s">
        <v>257</v>
      </c>
      <c r="EV4" t="s">
        <v>258</v>
      </c>
      <c r="EW4" t="s">
        <v>259</v>
      </c>
      <c r="EX4" t="s">
        <v>260</v>
      </c>
      <c r="EY4" t="s">
        <v>261</v>
      </c>
      <c r="EZ4" t="s">
        <v>262</v>
      </c>
      <c r="FA4" t="s">
        <v>263</v>
      </c>
      <c r="FB4" t="s">
        <v>264</v>
      </c>
      <c r="FC4" t="s">
        <v>265</v>
      </c>
      <c r="FD4" t="s">
        <v>266</v>
      </c>
      <c r="FE4" t="s">
        <v>267</v>
      </c>
      <c r="FF4" t="s">
        <v>268</v>
      </c>
      <c r="FG4" t="s">
        <v>269</v>
      </c>
      <c r="FH4" t="s">
        <v>270</v>
      </c>
      <c r="FI4" t="s">
        <v>271</v>
      </c>
      <c r="FJ4" t="s">
        <v>272</v>
      </c>
      <c r="FK4" t="s">
        <v>273</v>
      </c>
      <c r="FL4" t="s">
        <v>274</v>
      </c>
      <c r="FM4" t="s">
        <v>275</v>
      </c>
      <c r="FN4" t="s">
        <v>276</v>
      </c>
      <c r="FO4" t="s">
        <v>277</v>
      </c>
      <c r="FP4" t="s">
        <v>278</v>
      </c>
      <c r="FQ4" t="s">
        <v>279</v>
      </c>
      <c r="FR4" t="s">
        <v>280</v>
      </c>
      <c r="FS4" t="s">
        <v>281</v>
      </c>
      <c r="FT4" t="s">
        <v>282</v>
      </c>
      <c r="FU4" t="s">
        <v>283</v>
      </c>
      <c r="FV4" t="s">
        <v>284</v>
      </c>
      <c r="FW4" t="s">
        <v>285</v>
      </c>
      <c r="FX4" t="s">
        <v>286</v>
      </c>
      <c r="FY4" t="s">
        <v>287</v>
      </c>
      <c r="FZ4" t="s">
        <v>288</v>
      </c>
      <c r="GA4" t="s">
        <v>289</v>
      </c>
      <c r="GB4" t="s">
        <v>290</v>
      </c>
      <c r="GC4" t="s">
        <v>291</v>
      </c>
      <c r="GD4" t="s">
        <v>292</v>
      </c>
      <c r="GE4" t="s">
        <v>293</v>
      </c>
      <c r="GF4" t="s">
        <v>294</v>
      </c>
      <c r="GG4" t="s">
        <v>295</v>
      </c>
      <c r="GH4" t="s">
        <v>296</v>
      </c>
      <c r="GI4" t="s">
        <v>297</v>
      </c>
      <c r="GJ4" t="s">
        <v>298</v>
      </c>
      <c r="GK4" t="s">
        <v>299</v>
      </c>
      <c r="GL4" t="s">
        <v>300</v>
      </c>
      <c r="GM4" t="s">
        <v>301</v>
      </c>
      <c r="GN4" t="s">
        <v>302</v>
      </c>
      <c r="GO4" t="s">
        <v>303</v>
      </c>
      <c r="GP4" t="s">
        <v>304</v>
      </c>
      <c r="GQ4" t="s">
        <v>305</v>
      </c>
      <c r="GR4" t="s">
        <v>306</v>
      </c>
      <c r="GS4" t="s">
        <v>307</v>
      </c>
      <c r="GT4" t="s">
        <v>308</v>
      </c>
      <c r="GU4" t="s">
        <v>309</v>
      </c>
      <c r="GV4" t="s">
        <v>310</v>
      </c>
      <c r="GW4" t="s">
        <v>311</v>
      </c>
      <c r="GX4" t="s">
        <v>312</v>
      </c>
      <c r="GY4" t="s">
        <v>313</v>
      </c>
      <c r="GZ4" t="s">
        <v>314</v>
      </c>
      <c r="HA4" t="s">
        <v>315</v>
      </c>
      <c r="HB4" t="s">
        <v>316</v>
      </c>
      <c r="HC4" t="s">
        <v>317</v>
      </c>
      <c r="HD4" t="s">
        <v>318</v>
      </c>
      <c r="HE4" t="s">
        <v>319</v>
      </c>
      <c r="HF4" t="s">
        <v>320</v>
      </c>
      <c r="HG4" t="s">
        <v>321</v>
      </c>
      <c r="HH4" t="s">
        <v>322</v>
      </c>
      <c r="HI4" t="s">
        <v>323</v>
      </c>
      <c r="HJ4" t="s">
        <v>324</v>
      </c>
      <c r="HK4" t="s">
        <v>325</v>
      </c>
      <c r="HL4" t="s">
        <v>326</v>
      </c>
      <c r="HM4" t="s">
        <v>327</v>
      </c>
      <c r="HN4" t="s">
        <v>328</v>
      </c>
      <c r="HO4" t="s">
        <v>329</v>
      </c>
      <c r="HP4" t="s">
        <v>330</v>
      </c>
      <c r="HQ4" t="s">
        <v>331</v>
      </c>
      <c r="HR4" t="s">
        <v>332</v>
      </c>
      <c r="HS4" t="s">
        <v>333</v>
      </c>
      <c r="HT4" t="s">
        <v>334</v>
      </c>
      <c r="HU4" t="s">
        <v>335</v>
      </c>
      <c r="HV4" t="s">
        <v>336</v>
      </c>
      <c r="HW4" t="s">
        <v>337</v>
      </c>
      <c r="HX4" t="s">
        <v>338</v>
      </c>
      <c r="HY4" t="s">
        <v>339</v>
      </c>
      <c r="HZ4" t="s">
        <v>340</v>
      </c>
      <c r="IA4" t="s">
        <v>341</v>
      </c>
      <c r="IB4" t="s">
        <v>342</v>
      </c>
      <c r="IC4" t="s">
        <v>343</v>
      </c>
      <c r="ID4" t="s">
        <v>344</v>
      </c>
      <c r="IE4" t="s">
        <v>345</v>
      </c>
      <c r="IF4" t="s">
        <v>346</v>
      </c>
      <c r="IG4" t="s">
        <v>347</v>
      </c>
      <c r="IH4" t="s">
        <v>348</v>
      </c>
      <c r="II4" t="s">
        <v>349</v>
      </c>
      <c r="IJ4" t="s">
        <v>350</v>
      </c>
      <c r="IK4" t="s">
        <v>351</v>
      </c>
      <c r="IL4" t="s">
        <v>352</v>
      </c>
      <c r="IM4" t="s">
        <v>353</v>
      </c>
      <c r="IN4" t="s">
        <v>354</v>
      </c>
      <c r="IO4" t="s">
        <v>355</v>
      </c>
      <c r="IP4" t="s">
        <v>356</v>
      </c>
      <c r="IQ4" t="s">
        <v>357</v>
      </c>
      <c r="IR4" t="s">
        <v>358</v>
      </c>
      <c r="IS4" t="s">
        <v>359</v>
      </c>
      <c r="IT4" t="s">
        <v>360</v>
      </c>
      <c r="IU4" t="s">
        <v>361</v>
      </c>
      <c r="IV4" t="s">
        <v>362</v>
      </c>
      <c r="IW4" t="s">
        <v>363</v>
      </c>
      <c r="IX4" t="s">
        <v>364</v>
      </c>
      <c r="IY4" t="s">
        <v>365</v>
      </c>
      <c r="IZ4" t="s">
        <v>366</v>
      </c>
      <c r="JA4" t="s">
        <v>367</v>
      </c>
      <c r="JB4" t="s">
        <v>368</v>
      </c>
    </row>
    <row r="5" spans="2:262" x14ac:dyDescent="0.25">
      <c r="B5" s="56" t="s">
        <v>369</v>
      </c>
      <c r="C5" s="55" t="str" cm="1">
        <f t="array" ref="C5">Str2Asc(G3)</f>
        <v>303030323031303130323131323634303030303953472E5041594E4F57303130313230323133303230303036323230324F433130333031313532303435383134353330333730323534303531302E3230353830325347353931335041594E4F572055454E2051523630303953494E4741504F52453631303630383130303636333034</v>
      </c>
      <c r="D5" s="57"/>
      <c r="E5" s="3"/>
    </row>
    <row r="6" spans="2:262" ht="15.75" thickBot="1" x14ac:dyDescent="0.3">
      <c r="B6" s="53"/>
      <c r="C6" s="3"/>
      <c r="D6" s="54"/>
    </row>
    <row r="7" spans="2:262" ht="15.75" customHeight="1" thickBot="1" x14ac:dyDescent="0.3">
      <c r="B7" s="60" t="s">
        <v>14</v>
      </c>
      <c r="C7" s="61" t="s">
        <v>4</v>
      </c>
      <c r="D7" s="62" t="s">
        <v>95</v>
      </c>
      <c r="E7" s="60" t="s">
        <v>94</v>
      </c>
      <c r="F7" s="63" t="s">
        <v>370</v>
      </c>
      <c r="G7" s="68" t="s">
        <v>403</v>
      </c>
      <c r="H7" s="102" t="s">
        <v>377</v>
      </c>
      <c r="I7" s="60" t="s">
        <v>392</v>
      </c>
      <c r="J7" s="69" t="s">
        <v>378</v>
      </c>
      <c r="L7" s="110" t="s">
        <v>654</v>
      </c>
      <c r="M7" s="111"/>
      <c r="N7" s="111"/>
      <c r="O7" s="111"/>
      <c r="P7" s="111"/>
      <c r="Q7" s="112"/>
    </row>
    <row r="8" spans="2:262" ht="15.75" customHeight="1" thickBot="1" x14ac:dyDescent="0.3">
      <c r="B8" s="4" t="s">
        <v>17</v>
      </c>
      <c r="C8" s="52">
        <v>0</v>
      </c>
      <c r="E8" s="4">
        <v>2</v>
      </c>
      <c r="F8" s="5">
        <f>H8</f>
        <v>1</v>
      </c>
      <c r="G8" s="1" t="str">
        <f>IF(ISBLANK(F8),"",_xlfn.TEXTJOIN("",TRUE,TEXT(C8,"00"),TEXT(E8,"00"),TEXT(F8,"00")))</f>
        <v>000201</v>
      </c>
      <c r="H8" s="103">
        <v>1</v>
      </c>
      <c r="I8" s="70" t="s">
        <v>393</v>
      </c>
      <c r="J8" s="68" t="s">
        <v>380</v>
      </c>
      <c r="L8" s="113"/>
      <c r="M8" s="114"/>
      <c r="N8" s="114"/>
      <c r="O8" s="114"/>
      <c r="P8" s="114"/>
      <c r="Q8" s="115"/>
    </row>
    <row r="9" spans="2:262" x14ac:dyDescent="0.25">
      <c r="B9" s="4" t="s">
        <v>92</v>
      </c>
      <c r="C9" s="52">
        <v>1</v>
      </c>
      <c r="E9" s="4">
        <v>2</v>
      </c>
      <c r="F9" s="5" t="s">
        <v>626</v>
      </c>
      <c r="G9" s="1" t="str">
        <f>IF(ISBLANK(F9),"",_xlfn.TEXTJOIN("",TRUE,TEXT(C9,"00"),TEXT(E9,"00"),TEXT(F9,"00")))</f>
        <v>010211</v>
      </c>
      <c r="H9" s="100">
        <v>11</v>
      </c>
      <c r="I9" s="71" t="s">
        <v>393</v>
      </c>
      <c r="J9" s="68" t="s">
        <v>381</v>
      </c>
      <c r="L9" s="123" t="s">
        <v>462</v>
      </c>
      <c r="M9" s="123"/>
      <c r="N9" s="123"/>
      <c r="O9" s="123"/>
      <c r="P9" s="123"/>
      <c r="Q9" s="123"/>
      <c r="S9" s="2" t="s">
        <v>411</v>
      </c>
      <c r="T9" s="77">
        <v>44405</v>
      </c>
      <c r="U9" s="82" t="s">
        <v>453</v>
      </c>
    </row>
    <row r="10" spans="2:262" x14ac:dyDescent="0.25">
      <c r="B10" s="4" t="s">
        <v>412</v>
      </c>
      <c r="C10" s="52">
        <v>2</v>
      </c>
      <c r="E10" s="4">
        <v>99</v>
      </c>
      <c r="G10" s="1" t="str">
        <f>IF(ISBLANK(F10),"",_xlfn.TEXTJOIN("",TRUE,TEXT(C10,"00"),TEXT(LEN(F10),"00"),F10))</f>
        <v/>
      </c>
      <c r="H10" s="104" t="s">
        <v>414</v>
      </c>
      <c r="I10" s="72" t="s">
        <v>394</v>
      </c>
      <c r="J10" s="68" t="s">
        <v>430</v>
      </c>
      <c r="L10" s="126" t="s">
        <v>395</v>
      </c>
      <c r="M10" s="126"/>
      <c r="N10" s="126"/>
      <c r="O10" s="126"/>
      <c r="P10" s="126"/>
      <c r="Q10" s="126"/>
      <c r="S10" s="79" t="s">
        <v>452</v>
      </c>
      <c r="T10" s="77">
        <v>44406</v>
      </c>
      <c r="U10" s="82" t="s">
        <v>454</v>
      </c>
    </row>
    <row r="11" spans="2:262" x14ac:dyDescent="0.25">
      <c r="B11" s="4" t="s">
        <v>413</v>
      </c>
      <c r="C11" s="52">
        <v>4</v>
      </c>
      <c r="E11" s="4">
        <v>99</v>
      </c>
      <c r="G11" s="1" t="str">
        <f>IF(ISBLANK(F11),"",_xlfn.TEXTJOIN("",TRUE,TEXT(C11,"00"),TEXT(LEN(F11),"00"),F11))</f>
        <v/>
      </c>
      <c r="H11" s="104" t="s">
        <v>415</v>
      </c>
      <c r="I11" s="72" t="s">
        <v>394</v>
      </c>
      <c r="J11" s="68" t="s">
        <v>431</v>
      </c>
      <c r="L11" s="76"/>
      <c r="M11" s="76"/>
      <c r="N11" s="76"/>
      <c r="O11" s="76"/>
      <c r="S11" s="79" t="s">
        <v>456</v>
      </c>
      <c r="T11" s="77">
        <v>44406</v>
      </c>
      <c r="U11" s="82" t="s">
        <v>457</v>
      </c>
    </row>
    <row r="12" spans="2:262" x14ac:dyDescent="0.25">
      <c r="B12" s="4" t="s">
        <v>422</v>
      </c>
      <c r="C12" s="52">
        <v>26</v>
      </c>
      <c r="D12" s="52">
        <v>0</v>
      </c>
      <c r="E12" s="4">
        <v>32</v>
      </c>
      <c r="F12" s="5" t="s">
        <v>371</v>
      </c>
      <c r="G12" s="1" t="str" cm="1">
        <f t="array" ref="G12">IF(ISBLANK(F12),"",_xlfn.TEXTJOIN("",TRUE,TEXT(C12,"00"),SUM(LEN(F12),LEN(G13:G17))+4,TEXT(D12,"00"),TEXT(LEN(F12),"00"),F12))</f>
        <v>26400009SG.PAYNOW</v>
      </c>
      <c r="H12" s="104" t="s">
        <v>371</v>
      </c>
      <c r="I12" s="72" t="s">
        <v>394</v>
      </c>
      <c r="J12" s="68" t="s">
        <v>429</v>
      </c>
      <c r="S12" s="79" t="s">
        <v>461</v>
      </c>
      <c r="T12" s="77">
        <v>44407</v>
      </c>
      <c r="U12" s="82" t="s">
        <v>612</v>
      </c>
    </row>
    <row r="13" spans="2:262" x14ac:dyDescent="0.25">
      <c r="B13" s="4" t="s">
        <v>424</v>
      </c>
      <c r="C13" s="52">
        <v>26</v>
      </c>
      <c r="D13" s="52">
        <v>1</v>
      </c>
      <c r="E13" s="4">
        <v>1</v>
      </c>
      <c r="F13" s="5" t="s">
        <v>674</v>
      </c>
      <c r="G13" s="1" t="str">
        <f>IF(ISBLANK(F13),"",_xlfn.TEXTJOIN("",TRUE,TEXT(D13,"00"),TEXT(E13,"00"),TEXT(F13,"0")))</f>
        <v>01012</v>
      </c>
      <c r="H13" s="100">
        <v>0</v>
      </c>
      <c r="I13" s="72" t="s">
        <v>394</v>
      </c>
      <c r="J13" s="68" t="s">
        <v>379</v>
      </c>
      <c r="S13" s="79" t="s">
        <v>655</v>
      </c>
      <c r="T13" s="77">
        <v>44410</v>
      </c>
      <c r="U13" s="82" t="s">
        <v>657</v>
      </c>
    </row>
    <row r="14" spans="2:262" x14ac:dyDescent="0.25">
      <c r="B14" s="4" t="s">
        <v>425</v>
      </c>
      <c r="C14" s="52">
        <v>26</v>
      </c>
      <c r="D14" s="52">
        <v>2</v>
      </c>
      <c r="E14" s="4">
        <v>99</v>
      </c>
      <c r="F14" s="5" t="s">
        <v>675</v>
      </c>
      <c r="G14" s="1" t="str">
        <f>IF(ISBLANK(F14),"",_xlfn.TEXTJOIN("",TRUE,TEXT(D14,"00"),TEXT(LEN(F14),"00"),F14))</f>
        <v>02130200062202OC1</v>
      </c>
      <c r="H14" s="104"/>
      <c r="I14" s="72" t="s">
        <v>394</v>
      </c>
      <c r="J14" s="68" t="s">
        <v>20</v>
      </c>
      <c r="T14" s="77"/>
    </row>
    <row r="15" spans="2:262" x14ac:dyDescent="0.25">
      <c r="B15" s="4" t="s">
        <v>426</v>
      </c>
      <c r="C15" s="52">
        <v>26</v>
      </c>
      <c r="D15" s="52">
        <v>3</v>
      </c>
      <c r="E15" s="4">
        <v>1</v>
      </c>
      <c r="F15" s="5" t="s">
        <v>614</v>
      </c>
      <c r="G15" s="1" t="str">
        <f>IF(ISBLANK(F15),"",_xlfn.TEXTJOIN("",TRUE,TEXT(D15,"00"),TEXT(E15,"00"),TEXT(F15,"0")))</f>
        <v>03011</v>
      </c>
      <c r="H15" s="100">
        <v>1</v>
      </c>
      <c r="I15" s="72" t="s">
        <v>394</v>
      </c>
      <c r="J15" s="68" t="s">
        <v>382</v>
      </c>
    </row>
    <row r="16" spans="2:262" x14ac:dyDescent="0.25">
      <c r="B16" s="4" t="s">
        <v>427</v>
      </c>
      <c r="C16" s="52">
        <v>26</v>
      </c>
      <c r="D16" s="52">
        <v>4</v>
      </c>
      <c r="E16" s="4">
        <v>99</v>
      </c>
      <c r="G16" s="1" t="str">
        <f>IF(ISBLANK(F16),"",_xlfn.TEXTJOIN("",TRUE,TEXT(D16,"00"),TEXT(LEN(F16),"00"),F16))</f>
        <v/>
      </c>
      <c r="I16" s="72" t="s">
        <v>394</v>
      </c>
      <c r="J16" s="68" t="s">
        <v>383</v>
      </c>
    </row>
    <row r="17" spans="2:16" x14ac:dyDescent="0.25">
      <c r="B17" s="4" t="s">
        <v>428</v>
      </c>
      <c r="C17" s="52">
        <v>26</v>
      </c>
      <c r="D17" s="52">
        <v>5</v>
      </c>
      <c r="E17" s="4">
        <v>99</v>
      </c>
      <c r="G17" s="1" t="str">
        <f>IF(ISBLANK(F17),"",_xlfn.TEXTJOIN("",TRUE,TEXT(D17,"00"),TEXT(LEN(F17),"00"),F17))</f>
        <v/>
      </c>
      <c r="I17" s="72" t="s">
        <v>394</v>
      </c>
      <c r="J17" s="68" t="s">
        <v>384</v>
      </c>
    </row>
    <row r="18" spans="2:16" x14ac:dyDescent="0.25">
      <c r="B18" s="4" t="s">
        <v>421</v>
      </c>
      <c r="C18" s="52">
        <v>27</v>
      </c>
      <c r="D18" s="52">
        <v>0</v>
      </c>
      <c r="E18" s="4">
        <v>32</v>
      </c>
      <c r="G18" s="1" t="str" cm="1">
        <f t="array" ref="G18">IF(ISBLANK(F18),"",_xlfn.TEXTJOIN("",TRUE,TEXT(C18,"00"),SUM(LEN(F18),LEN(G19:G23))+4,TEXT(D18,"00"),TEXT(LEN(F18),"00"),F18))</f>
        <v/>
      </c>
      <c r="H18" s="100" t="s">
        <v>417</v>
      </c>
      <c r="I18" s="72" t="s">
        <v>394</v>
      </c>
      <c r="J18" s="68" t="s">
        <v>608</v>
      </c>
    </row>
    <row r="19" spans="2:16" x14ac:dyDescent="0.25">
      <c r="B19" s="4" t="s">
        <v>570</v>
      </c>
      <c r="C19" s="52">
        <v>27</v>
      </c>
      <c r="D19" s="52">
        <v>1</v>
      </c>
      <c r="E19" s="4">
        <v>99</v>
      </c>
      <c r="G19" s="1" t="str">
        <f t="shared" ref="G19:G31" si="0">IF(ISBLANK(F19),"",_xlfn.TEXTJOIN("",TRUE,TEXT(D19,"00"),TEXT(LEN(F19),"00"),F19))</f>
        <v/>
      </c>
      <c r="H19" s="104" t="s">
        <v>611</v>
      </c>
      <c r="I19" s="72" t="s">
        <v>394</v>
      </c>
      <c r="J19" s="68" t="s">
        <v>610</v>
      </c>
    </row>
    <row r="20" spans="2:16" x14ac:dyDescent="0.25">
      <c r="B20" s="4" t="s">
        <v>435</v>
      </c>
      <c r="C20" s="52">
        <v>27</v>
      </c>
      <c r="D20" s="52">
        <v>2</v>
      </c>
      <c r="E20" s="4">
        <v>99</v>
      </c>
      <c r="G20" s="1" t="str">
        <f t="shared" si="0"/>
        <v/>
      </c>
      <c r="H20" s="100" t="s">
        <v>418</v>
      </c>
      <c r="I20" s="72" t="s">
        <v>394</v>
      </c>
      <c r="J20" s="68" t="s">
        <v>434</v>
      </c>
    </row>
    <row r="21" spans="2:16" x14ac:dyDescent="0.25">
      <c r="B21" s="4" t="s">
        <v>420</v>
      </c>
      <c r="C21" s="52">
        <v>27</v>
      </c>
      <c r="D21" s="52">
        <v>3</v>
      </c>
      <c r="E21" s="4">
        <v>99</v>
      </c>
      <c r="G21" s="1" t="str">
        <f t="shared" si="0"/>
        <v/>
      </c>
      <c r="H21" s="100" t="s">
        <v>419</v>
      </c>
      <c r="I21" s="72" t="s">
        <v>394</v>
      </c>
      <c r="J21" s="68" t="s">
        <v>571</v>
      </c>
    </row>
    <row r="22" spans="2:16" x14ac:dyDescent="0.25">
      <c r="B22" s="4" t="s">
        <v>416</v>
      </c>
      <c r="C22" s="52">
        <v>27</v>
      </c>
      <c r="D22" s="52">
        <v>9</v>
      </c>
      <c r="E22" s="4">
        <v>1</v>
      </c>
      <c r="G22" s="1" t="str">
        <f>IF(ISBLANK(F22),"",_xlfn.TEXTJOIN("",TRUE,TEXT(D22,"00"),TEXT(E22,"00"),TEXT(F22,"0")))</f>
        <v/>
      </c>
      <c r="H22" s="100">
        <v>1</v>
      </c>
      <c r="I22" s="72" t="s">
        <v>394</v>
      </c>
      <c r="J22" s="68" t="s">
        <v>382</v>
      </c>
    </row>
    <row r="23" spans="2:16" x14ac:dyDescent="0.25">
      <c r="B23" s="4" t="s">
        <v>420</v>
      </c>
      <c r="C23" s="52">
        <v>27</v>
      </c>
      <c r="D23" s="52">
        <v>99</v>
      </c>
      <c r="E23" s="4">
        <v>99</v>
      </c>
      <c r="G23" s="1" t="str">
        <f t="shared" si="0"/>
        <v/>
      </c>
      <c r="H23" s="100" t="s">
        <v>432</v>
      </c>
      <c r="I23" s="72" t="s">
        <v>394</v>
      </c>
      <c r="J23" s="68" t="s">
        <v>572</v>
      </c>
    </row>
    <row r="24" spans="2:16" x14ac:dyDescent="0.25">
      <c r="B24" s="4" t="s">
        <v>581</v>
      </c>
      <c r="C24" s="52">
        <v>51</v>
      </c>
      <c r="D24" s="52">
        <v>0</v>
      </c>
      <c r="E24" s="4">
        <v>7</v>
      </c>
      <c r="G24" s="1" t="str" cm="1">
        <f t="array" ref="G24">IF(ISBLANK(F24),"",_xlfn.TEXTJOIN("",TRUE,TEXT(C24,"00"),SUM(LEN(F24),LEN(G25:G31))+4,TEXT(D24,"00"),TEXT(LEN(F24),"00"),F24))</f>
        <v/>
      </c>
      <c r="H24" s="100" t="s">
        <v>528</v>
      </c>
      <c r="I24" s="72" t="s">
        <v>394</v>
      </c>
      <c r="J24" s="68" t="s">
        <v>589</v>
      </c>
    </row>
    <row r="25" spans="2:16" x14ac:dyDescent="0.25">
      <c r="B25" s="4" t="s">
        <v>582</v>
      </c>
      <c r="C25" s="52">
        <v>51</v>
      </c>
      <c r="D25" s="52">
        <v>1</v>
      </c>
      <c r="E25" s="4">
        <v>12</v>
      </c>
      <c r="G25" s="1" t="str">
        <f t="shared" si="0"/>
        <v/>
      </c>
      <c r="H25" s="104" t="s">
        <v>603</v>
      </c>
      <c r="I25" s="72" t="s">
        <v>394</v>
      </c>
      <c r="J25" s="68" t="s">
        <v>602</v>
      </c>
    </row>
    <row r="26" spans="2:16" x14ac:dyDescent="0.25">
      <c r="B26" s="4" t="s">
        <v>583</v>
      </c>
      <c r="C26" s="52">
        <v>51</v>
      </c>
      <c r="D26" s="52">
        <v>2</v>
      </c>
      <c r="E26" s="4">
        <v>7</v>
      </c>
      <c r="G26" s="1" t="str">
        <f t="shared" si="0"/>
        <v/>
      </c>
      <c r="H26" s="104" t="s">
        <v>595</v>
      </c>
      <c r="I26" s="72" t="s">
        <v>394</v>
      </c>
      <c r="J26" s="68" t="s">
        <v>590</v>
      </c>
    </row>
    <row r="27" spans="2:16" x14ac:dyDescent="0.25">
      <c r="B27" s="4" t="s">
        <v>584</v>
      </c>
      <c r="C27" s="52">
        <v>51</v>
      </c>
      <c r="D27" s="52">
        <v>3</v>
      </c>
      <c r="E27" s="4">
        <v>10</v>
      </c>
      <c r="G27" s="1" t="str">
        <f t="shared" si="0"/>
        <v/>
      </c>
      <c r="H27" s="104" t="s">
        <v>596</v>
      </c>
      <c r="I27" s="72" t="s">
        <v>394</v>
      </c>
      <c r="J27" s="68" t="s">
        <v>591</v>
      </c>
    </row>
    <row r="28" spans="2:16" x14ac:dyDescent="0.25">
      <c r="B28" s="4" t="s">
        <v>585</v>
      </c>
      <c r="C28" s="52">
        <v>51</v>
      </c>
      <c r="D28" s="52">
        <v>4</v>
      </c>
      <c r="E28" s="4">
        <v>3</v>
      </c>
      <c r="G28" s="1" t="str">
        <f t="shared" si="0"/>
        <v/>
      </c>
      <c r="H28" s="100" t="s">
        <v>597</v>
      </c>
      <c r="I28" s="72" t="s">
        <v>394</v>
      </c>
      <c r="J28" s="68" t="s">
        <v>592</v>
      </c>
    </row>
    <row r="29" spans="2:16" x14ac:dyDescent="0.25">
      <c r="B29" s="4" t="s">
        <v>586</v>
      </c>
      <c r="C29" s="52">
        <v>51</v>
      </c>
      <c r="D29" s="52">
        <v>5</v>
      </c>
      <c r="E29" s="4">
        <v>5</v>
      </c>
      <c r="G29" s="1" t="str">
        <f t="shared" si="0"/>
        <v/>
      </c>
      <c r="H29" s="100" t="s">
        <v>598</v>
      </c>
      <c r="I29" s="72" t="s">
        <v>394</v>
      </c>
      <c r="J29" s="68" t="s">
        <v>593</v>
      </c>
      <c r="M29" s="127" t="s">
        <v>604</v>
      </c>
      <c r="N29" s="127"/>
      <c r="O29" s="127"/>
      <c r="P29" s="127"/>
    </row>
    <row r="30" spans="2:16" x14ac:dyDescent="0.25">
      <c r="B30" s="4" t="s">
        <v>587</v>
      </c>
      <c r="C30" s="52">
        <v>51</v>
      </c>
      <c r="D30" s="52">
        <v>6</v>
      </c>
      <c r="E30" s="4">
        <v>10</v>
      </c>
      <c r="G30" s="1" t="str">
        <f t="shared" si="0"/>
        <v/>
      </c>
      <c r="H30" s="100" t="s">
        <v>599</v>
      </c>
      <c r="I30" s="72" t="s">
        <v>394</v>
      </c>
      <c r="J30" s="68" t="s">
        <v>594</v>
      </c>
      <c r="M30" s="128" t="s">
        <v>606</v>
      </c>
      <c r="N30" s="128"/>
      <c r="O30" s="128"/>
      <c r="P30" s="128"/>
    </row>
    <row r="31" spans="2:16" x14ac:dyDescent="0.25">
      <c r="B31" s="4" t="s">
        <v>588</v>
      </c>
      <c r="C31" s="52">
        <v>51</v>
      </c>
      <c r="D31" s="52">
        <v>7</v>
      </c>
      <c r="E31" s="4">
        <v>8</v>
      </c>
      <c r="G31" s="1" t="str">
        <f t="shared" si="0"/>
        <v/>
      </c>
      <c r="H31" s="100" t="s">
        <v>600</v>
      </c>
      <c r="I31" s="72" t="s">
        <v>394</v>
      </c>
      <c r="J31" s="68" t="s">
        <v>601</v>
      </c>
      <c r="M31" s="124" t="s">
        <v>605</v>
      </c>
      <c r="N31" s="124"/>
      <c r="O31" s="124"/>
      <c r="P31" s="124"/>
    </row>
    <row r="32" spans="2:16" x14ac:dyDescent="0.25">
      <c r="B32" s="4" t="s">
        <v>43</v>
      </c>
      <c r="C32" s="52">
        <v>52</v>
      </c>
      <c r="E32" s="4">
        <v>4</v>
      </c>
      <c r="F32" s="5" t="s">
        <v>673</v>
      </c>
      <c r="G32" s="1" t="str">
        <f t="shared" ref="G32:G40" si="1">IF(ISBLANK(F32),"",_xlfn.TEXTJOIN("",TRUE,TEXT(C32,"00"),TEXT(LEN(F32),"00"),F32))</f>
        <v>52045814</v>
      </c>
      <c r="H32" s="100" t="s">
        <v>609</v>
      </c>
      <c r="I32" s="72" t="s">
        <v>394</v>
      </c>
      <c r="J32" s="68" t="s">
        <v>385</v>
      </c>
      <c r="M32" s="125" t="s">
        <v>607</v>
      </c>
      <c r="N32" s="125"/>
      <c r="O32" s="125"/>
      <c r="P32" s="125"/>
    </row>
    <row r="33" spans="2:11" x14ac:dyDescent="0.25">
      <c r="B33" s="4" t="s">
        <v>96</v>
      </c>
      <c r="C33" s="52">
        <v>53</v>
      </c>
      <c r="E33" s="4">
        <v>3</v>
      </c>
      <c r="F33" s="5" t="s">
        <v>372</v>
      </c>
      <c r="G33" s="1" t="str">
        <f t="shared" si="1"/>
        <v>5303702</v>
      </c>
      <c r="H33" s="100">
        <v>702</v>
      </c>
      <c r="I33" s="71" t="s">
        <v>393</v>
      </c>
      <c r="J33" s="68" t="s">
        <v>387</v>
      </c>
    </row>
    <row r="34" spans="2:11" x14ac:dyDescent="0.25">
      <c r="B34" s="4" t="s">
        <v>97</v>
      </c>
      <c r="C34" s="52">
        <v>54</v>
      </c>
      <c r="E34" s="4">
        <v>13</v>
      </c>
      <c r="F34" s="5" t="s">
        <v>615</v>
      </c>
      <c r="G34" s="1" t="str">
        <f t="shared" si="1"/>
        <v>540510.20</v>
      </c>
      <c r="H34" s="104" t="s">
        <v>433</v>
      </c>
      <c r="I34" s="72" t="s">
        <v>394</v>
      </c>
      <c r="J34" s="68" t="s">
        <v>388</v>
      </c>
    </row>
    <row r="35" spans="2:11" hidden="1" x14ac:dyDescent="0.25">
      <c r="B35" s="4" t="s">
        <v>46</v>
      </c>
      <c r="C35" s="52">
        <v>55</v>
      </c>
      <c r="E35" s="4">
        <v>2</v>
      </c>
      <c r="G35" s="1" t="str">
        <f t="shared" si="1"/>
        <v/>
      </c>
      <c r="I35" s="72" t="s">
        <v>394</v>
      </c>
    </row>
    <row r="36" spans="2:11" hidden="1" x14ac:dyDescent="0.25">
      <c r="B36" s="4" t="s">
        <v>47</v>
      </c>
      <c r="C36" s="52">
        <v>56</v>
      </c>
      <c r="E36" s="4">
        <v>13</v>
      </c>
      <c r="G36" s="1" t="str">
        <f t="shared" si="1"/>
        <v/>
      </c>
      <c r="I36" s="72" t="s">
        <v>394</v>
      </c>
    </row>
    <row r="37" spans="2:11" hidden="1" x14ac:dyDescent="0.25">
      <c r="B37" s="4" t="s">
        <v>48</v>
      </c>
      <c r="C37" s="52">
        <v>57</v>
      </c>
      <c r="E37" s="4">
        <v>5</v>
      </c>
      <c r="G37" s="1" t="str">
        <f t="shared" si="1"/>
        <v/>
      </c>
      <c r="I37" s="72" t="s">
        <v>394</v>
      </c>
    </row>
    <row r="38" spans="2:11" x14ac:dyDescent="0.25">
      <c r="B38" s="4" t="s">
        <v>49</v>
      </c>
      <c r="C38" s="52">
        <v>58</v>
      </c>
      <c r="E38" s="4">
        <v>2</v>
      </c>
      <c r="F38" s="5" t="s">
        <v>373</v>
      </c>
      <c r="G38" s="1" t="str">
        <f t="shared" si="1"/>
        <v>5802SG</v>
      </c>
      <c r="H38" s="100" t="s">
        <v>373</v>
      </c>
      <c r="I38" s="71" t="s">
        <v>393</v>
      </c>
      <c r="J38" s="68" t="s">
        <v>401</v>
      </c>
    </row>
    <row r="39" spans="2:11" x14ac:dyDescent="0.25">
      <c r="B39" s="4" t="s">
        <v>50</v>
      </c>
      <c r="C39" s="52">
        <v>59</v>
      </c>
      <c r="E39" s="4">
        <v>25</v>
      </c>
      <c r="F39" s="5" t="s">
        <v>676</v>
      </c>
      <c r="G39" s="1" t="str">
        <f t="shared" si="1"/>
        <v>5913PAYNOW UEN QR</v>
      </c>
      <c r="H39" s="100" t="s">
        <v>374</v>
      </c>
      <c r="I39" s="71" t="s">
        <v>393</v>
      </c>
      <c r="J39" s="68" t="s">
        <v>50</v>
      </c>
    </row>
    <row r="40" spans="2:11" x14ac:dyDescent="0.25">
      <c r="B40" s="4" t="s">
        <v>51</v>
      </c>
      <c r="C40" s="52">
        <v>60</v>
      </c>
      <c r="E40" s="4">
        <v>15</v>
      </c>
      <c r="F40" s="5" t="s">
        <v>375</v>
      </c>
      <c r="G40" s="1" t="str">
        <f t="shared" si="1"/>
        <v>6009SINGAPORE</v>
      </c>
      <c r="H40" s="100" t="s">
        <v>375</v>
      </c>
      <c r="I40" s="71" t="s">
        <v>393</v>
      </c>
      <c r="J40" s="68" t="s">
        <v>402</v>
      </c>
    </row>
    <row r="41" spans="2:11" x14ac:dyDescent="0.25">
      <c r="B41" s="4" t="s">
        <v>52</v>
      </c>
      <c r="C41" s="52">
        <v>61</v>
      </c>
      <c r="E41" s="4">
        <v>10</v>
      </c>
      <c r="F41" s="5" t="s">
        <v>596</v>
      </c>
      <c r="G41" s="1" t="str">
        <f t="shared" ref="G41" si="2">IF(ISBLANK(F41),"",_xlfn.TEXTJOIN("",TRUE,TEXT(C41,"00"),TEXT(LEN(F41),"00"),F41))</f>
        <v>6106081006</v>
      </c>
      <c r="H41" s="104" t="s">
        <v>596</v>
      </c>
      <c r="I41" s="72" t="s">
        <v>394</v>
      </c>
      <c r="J41" s="68" t="s">
        <v>389</v>
      </c>
    </row>
    <row r="42" spans="2:11" hidden="1" x14ac:dyDescent="0.25">
      <c r="B42" s="4" t="s">
        <v>99</v>
      </c>
      <c r="C42" s="52">
        <v>62</v>
      </c>
      <c r="D42" s="52">
        <v>0</v>
      </c>
      <c r="E42" s="4">
        <v>32</v>
      </c>
      <c r="G42" s="1" t="str" cm="1">
        <f t="array" ref="G42">IF(AND(ISBLANK(F43:F92),ISBLANK(F94:F142)),"",_xlfn.TEXTJOIN("",TRUE,C42,TEXT(SUM(LEN(G43:G51)),"00"),G43:G92,G94:G142))</f>
        <v/>
      </c>
      <c r="I42" s="72"/>
      <c r="J42" s="68" t="s">
        <v>390</v>
      </c>
    </row>
    <row r="43" spans="2:11" x14ac:dyDescent="0.25">
      <c r="B43" s="4" t="s">
        <v>55</v>
      </c>
      <c r="C43" s="52">
        <v>62</v>
      </c>
      <c r="D43" s="52">
        <v>1</v>
      </c>
      <c r="E43" s="4">
        <v>25</v>
      </c>
      <c r="G43" s="1" t="str">
        <f>IF(ISBLANK(F43),"",_xlfn.TEXTJOIN("",TRUE,TEXT(D43,"00"),TEXT(LEN(F43),"00"),F43))</f>
        <v/>
      </c>
      <c r="I43" s="72" t="s">
        <v>394</v>
      </c>
      <c r="J43" s="68" t="s">
        <v>391</v>
      </c>
      <c r="K43" s="1" t="s">
        <v>451</v>
      </c>
    </row>
    <row r="44" spans="2:11" x14ac:dyDescent="0.25">
      <c r="B44" s="4" t="s">
        <v>57</v>
      </c>
      <c r="C44" s="52">
        <v>62</v>
      </c>
      <c r="D44" s="52">
        <v>2</v>
      </c>
      <c r="E44" s="4">
        <v>25</v>
      </c>
      <c r="G44" s="1" t="str">
        <f t="shared" ref="G44:G107" si="3">IF(ISBLANK(F44),"",_xlfn.TEXTJOIN("",TRUE,TEXT(D44,"00"),TEXT(LEN(F44),"00"),F44))</f>
        <v/>
      </c>
      <c r="I44" s="72" t="s">
        <v>394</v>
      </c>
    </row>
    <row r="45" spans="2:11" x14ac:dyDescent="0.25">
      <c r="B45" s="4" t="s">
        <v>59</v>
      </c>
      <c r="C45" s="52">
        <v>62</v>
      </c>
      <c r="D45" s="52">
        <v>3</v>
      </c>
      <c r="E45" s="4">
        <v>25</v>
      </c>
      <c r="G45" s="1" t="str">
        <f t="shared" si="3"/>
        <v/>
      </c>
      <c r="I45" s="72" t="s">
        <v>394</v>
      </c>
    </row>
    <row r="46" spans="2:11" x14ac:dyDescent="0.25">
      <c r="B46" s="4" t="s">
        <v>61</v>
      </c>
      <c r="C46" s="52">
        <v>62</v>
      </c>
      <c r="D46" s="52">
        <v>4</v>
      </c>
      <c r="E46" s="4">
        <v>25</v>
      </c>
      <c r="G46" s="1" t="str">
        <f t="shared" si="3"/>
        <v/>
      </c>
      <c r="I46" s="72" t="s">
        <v>394</v>
      </c>
    </row>
    <row r="47" spans="2:11" x14ac:dyDescent="0.25">
      <c r="B47" s="4" t="s">
        <v>63</v>
      </c>
      <c r="C47" s="52">
        <v>62</v>
      </c>
      <c r="D47" s="52">
        <v>5</v>
      </c>
      <c r="E47" s="4">
        <v>25</v>
      </c>
      <c r="G47" s="1" t="str">
        <f t="shared" si="3"/>
        <v/>
      </c>
      <c r="I47" s="72" t="s">
        <v>394</v>
      </c>
    </row>
    <row r="48" spans="2:11" x14ac:dyDescent="0.25">
      <c r="B48" s="4" t="s">
        <v>580</v>
      </c>
      <c r="C48" s="52">
        <v>62</v>
      </c>
      <c r="D48" s="52">
        <v>6</v>
      </c>
      <c r="E48" s="4">
        <v>25</v>
      </c>
      <c r="G48" s="1" t="str">
        <f t="shared" si="3"/>
        <v/>
      </c>
      <c r="I48" s="72" t="s">
        <v>394</v>
      </c>
    </row>
    <row r="49" spans="2:14" x14ac:dyDescent="0.25">
      <c r="B49" s="4" t="s">
        <v>67</v>
      </c>
      <c r="C49" s="52">
        <v>62</v>
      </c>
      <c r="D49" s="52">
        <v>7</v>
      </c>
      <c r="E49" s="4">
        <v>25</v>
      </c>
      <c r="G49" s="1" t="str">
        <f t="shared" si="3"/>
        <v/>
      </c>
      <c r="I49" s="72" t="s">
        <v>394</v>
      </c>
    </row>
    <row r="50" spans="2:14" x14ac:dyDescent="0.25">
      <c r="B50" s="4" t="s">
        <v>69</v>
      </c>
      <c r="C50" s="52">
        <v>62</v>
      </c>
      <c r="D50" s="52">
        <v>8</v>
      </c>
      <c r="E50" s="4">
        <v>25</v>
      </c>
      <c r="G50" s="1" t="str">
        <f t="shared" si="3"/>
        <v/>
      </c>
      <c r="I50" s="72" t="s">
        <v>394</v>
      </c>
    </row>
    <row r="51" spans="2:14" x14ac:dyDescent="0.25">
      <c r="B51" s="4" t="s">
        <v>71</v>
      </c>
      <c r="C51" s="52">
        <v>62</v>
      </c>
      <c r="D51" s="52">
        <v>9</v>
      </c>
      <c r="E51" s="4">
        <v>3</v>
      </c>
      <c r="G51" s="1" t="str">
        <f t="shared" si="3"/>
        <v/>
      </c>
      <c r="H51" s="105" t="s">
        <v>399</v>
      </c>
      <c r="I51" s="72" t="s">
        <v>394</v>
      </c>
      <c r="J51" s="68" t="s">
        <v>400</v>
      </c>
      <c r="N51" s="58"/>
    </row>
    <row r="52" spans="2:14" x14ac:dyDescent="0.25">
      <c r="B52" s="4" t="s">
        <v>463</v>
      </c>
      <c r="C52" s="52">
        <v>62</v>
      </c>
      <c r="D52" s="52">
        <v>10</v>
      </c>
      <c r="E52" s="4">
        <v>20</v>
      </c>
      <c r="G52" s="1" t="str">
        <f t="shared" si="3"/>
        <v/>
      </c>
      <c r="I52" s="72" t="s">
        <v>394</v>
      </c>
    </row>
    <row r="53" spans="2:14" x14ac:dyDescent="0.25">
      <c r="B53" s="4" t="s">
        <v>464</v>
      </c>
      <c r="C53" s="52">
        <v>62</v>
      </c>
      <c r="D53" s="52">
        <v>11</v>
      </c>
      <c r="E53" s="4">
        <v>3</v>
      </c>
      <c r="G53" s="1" t="str">
        <f t="shared" si="3"/>
        <v/>
      </c>
      <c r="I53" s="72" t="s">
        <v>394</v>
      </c>
    </row>
    <row r="54" spans="2:14" x14ac:dyDescent="0.25">
      <c r="B54" s="4" t="s">
        <v>88</v>
      </c>
      <c r="C54" s="52">
        <v>62</v>
      </c>
      <c r="D54" s="52">
        <v>12</v>
      </c>
      <c r="G54" s="1" t="str">
        <f t="shared" si="3"/>
        <v/>
      </c>
    </row>
    <row r="55" spans="2:14" hidden="1" x14ac:dyDescent="0.25">
      <c r="B55" s="4" t="s">
        <v>88</v>
      </c>
      <c r="C55" s="52">
        <v>62</v>
      </c>
      <c r="D55" s="52">
        <v>13</v>
      </c>
      <c r="G55" s="1" t="str">
        <f t="shared" si="3"/>
        <v/>
      </c>
    </row>
    <row r="56" spans="2:14" hidden="1" x14ac:dyDescent="0.25">
      <c r="B56" s="4" t="s">
        <v>88</v>
      </c>
      <c r="C56" s="52">
        <v>62</v>
      </c>
      <c r="D56" s="52">
        <v>14</v>
      </c>
      <c r="G56" s="1" t="str">
        <f t="shared" si="3"/>
        <v/>
      </c>
    </row>
    <row r="57" spans="2:14" hidden="1" x14ac:dyDescent="0.25">
      <c r="B57" s="4" t="s">
        <v>88</v>
      </c>
      <c r="C57" s="52">
        <v>62</v>
      </c>
      <c r="D57" s="52">
        <v>15</v>
      </c>
      <c r="G57" s="1" t="str">
        <f t="shared" si="3"/>
        <v/>
      </c>
    </row>
    <row r="58" spans="2:14" hidden="1" x14ac:dyDescent="0.25">
      <c r="B58" s="4" t="s">
        <v>88</v>
      </c>
      <c r="C58" s="52">
        <v>62</v>
      </c>
      <c r="D58" s="52">
        <v>16</v>
      </c>
      <c r="G58" s="1" t="str">
        <f t="shared" si="3"/>
        <v/>
      </c>
    </row>
    <row r="59" spans="2:14" hidden="1" x14ac:dyDescent="0.25">
      <c r="B59" s="4" t="s">
        <v>88</v>
      </c>
      <c r="C59" s="52">
        <v>62</v>
      </c>
      <c r="D59" s="52">
        <v>17</v>
      </c>
      <c r="G59" s="1" t="str">
        <f t="shared" si="3"/>
        <v/>
      </c>
    </row>
    <row r="60" spans="2:14" hidden="1" x14ac:dyDescent="0.25">
      <c r="B60" s="4" t="s">
        <v>88</v>
      </c>
      <c r="C60" s="52">
        <v>62</v>
      </c>
      <c r="D60" s="52">
        <v>18</v>
      </c>
      <c r="G60" s="1" t="str">
        <f t="shared" si="3"/>
        <v/>
      </c>
    </row>
    <row r="61" spans="2:14" hidden="1" x14ac:dyDescent="0.25">
      <c r="B61" s="4" t="s">
        <v>88</v>
      </c>
      <c r="C61" s="52">
        <v>62</v>
      </c>
      <c r="D61" s="52">
        <v>19</v>
      </c>
      <c r="G61" s="1" t="str">
        <f t="shared" si="3"/>
        <v/>
      </c>
    </row>
    <row r="62" spans="2:14" hidden="1" x14ac:dyDescent="0.25">
      <c r="B62" s="4" t="s">
        <v>88</v>
      </c>
      <c r="C62" s="52">
        <v>62</v>
      </c>
      <c r="D62" s="52">
        <v>20</v>
      </c>
      <c r="G62" s="1" t="str">
        <f t="shared" si="3"/>
        <v/>
      </c>
    </row>
    <row r="63" spans="2:14" hidden="1" x14ac:dyDescent="0.25">
      <c r="B63" s="4" t="s">
        <v>88</v>
      </c>
      <c r="C63" s="52">
        <v>62</v>
      </c>
      <c r="D63" s="52">
        <v>21</v>
      </c>
      <c r="G63" s="1" t="str">
        <f t="shared" si="3"/>
        <v/>
      </c>
    </row>
    <row r="64" spans="2:14" hidden="1" x14ac:dyDescent="0.25">
      <c r="B64" s="4" t="s">
        <v>88</v>
      </c>
      <c r="C64" s="52">
        <v>62</v>
      </c>
      <c r="D64" s="52">
        <v>22</v>
      </c>
      <c r="G64" s="1" t="str">
        <f t="shared" si="3"/>
        <v/>
      </c>
    </row>
    <row r="65" spans="2:7" hidden="1" x14ac:dyDescent="0.25">
      <c r="B65" s="4" t="s">
        <v>88</v>
      </c>
      <c r="C65" s="52">
        <v>62</v>
      </c>
      <c r="D65" s="52">
        <v>23</v>
      </c>
      <c r="G65" s="1" t="str">
        <f t="shared" si="3"/>
        <v/>
      </c>
    </row>
    <row r="66" spans="2:7" hidden="1" x14ac:dyDescent="0.25">
      <c r="B66" s="4" t="s">
        <v>88</v>
      </c>
      <c r="C66" s="52">
        <v>62</v>
      </c>
      <c r="D66" s="52">
        <v>24</v>
      </c>
      <c r="G66" s="1" t="str">
        <f t="shared" si="3"/>
        <v/>
      </c>
    </row>
    <row r="67" spans="2:7" hidden="1" x14ac:dyDescent="0.25">
      <c r="B67" s="4" t="s">
        <v>88</v>
      </c>
      <c r="C67" s="52">
        <v>62</v>
      </c>
      <c r="D67" s="52">
        <v>25</v>
      </c>
      <c r="G67" s="1" t="str">
        <f t="shared" si="3"/>
        <v/>
      </c>
    </row>
    <row r="68" spans="2:7" hidden="1" x14ac:dyDescent="0.25">
      <c r="B68" s="4" t="s">
        <v>88</v>
      </c>
      <c r="C68" s="52">
        <v>62</v>
      </c>
      <c r="D68" s="52">
        <v>26</v>
      </c>
      <c r="G68" s="1" t="str">
        <f t="shared" si="3"/>
        <v/>
      </c>
    </row>
    <row r="69" spans="2:7" hidden="1" x14ac:dyDescent="0.25">
      <c r="B69" s="4" t="s">
        <v>88</v>
      </c>
      <c r="C69" s="52">
        <v>62</v>
      </c>
      <c r="D69" s="52">
        <v>27</v>
      </c>
      <c r="G69" s="1" t="str">
        <f t="shared" si="3"/>
        <v/>
      </c>
    </row>
    <row r="70" spans="2:7" hidden="1" x14ac:dyDescent="0.25">
      <c r="B70" s="4" t="s">
        <v>88</v>
      </c>
      <c r="C70" s="52">
        <v>62</v>
      </c>
      <c r="D70" s="52">
        <v>28</v>
      </c>
      <c r="G70" s="1" t="str">
        <f t="shared" si="3"/>
        <v/>
      </c>
    </row>
    <row r="71" spans="2:7" hidden="1" x14ac:dyDescent="0.25">
      <c r="B71" s="4" t="s">
        <v>88</v>
      </c>
      <c r="C71" s="52">
        <v>62</v>
      </c>
      <c r="D71" s="52">
        <v>29</v>
      </c>
      <c r="G71" s="1" t="str">
        <f t="shared" si="3"/>
        <v/>
      </c>
    </row>
    <row r="72" spans="2:7" hidden="1" x14ac:dyDescent="0.25">
      <c r="B72" s="4" t="s">
        <v>88</v>
      </c>
      <c r="C72" s="52">
        <v>62</v>
      </c>
      <c r="D72" s="52">
        <v>30</v>
      </c>
      <c r="G72" s="1" t="str">
        <f t="shared" si="3"/>
        <v/>
      </c>
    </row>
    <row r="73" spans="2:7" hidden="1" x14ac:dyDescent="0.25">
      <c r="B73" s="4" t="s">
        <v>88</v>
      </c>
      <c r="C73" s="52">
        <v>62</v>
      </c>
      <c r="D73" s="52">
        <v>31</v>
      </c>
      <c r="G73" s="1" t="str">
        <f t="shared" si="3"/>
        <v/>
      </c>
    </row>
    <row r="74" spans="2:7" hidden="1" x14ac:dyDescent="0.25">
      <c r="B74" s="4" t="s">
        <v>88</v>
      </c>
      <c r="C74" s="52">
        <v>62</v>
      </c>
      <c r="D74" s="52">
        <v>32</v>
      </c>
      <c r="G74" s="1" t="str">
        <f t="shared" si="3"/>
        <v/>
      </c>
    </row>
    <row r="75" spans="2:7" hidden="1" x14ac:dyDescent="0.25">
      <c r="B75" s="4" t="s">
        <v>88</v>
      </c>
      <c r="C75" s="52">
        <v>62</v>
      </c>
      <c r="D75" s="52">
        <v>33</v>
      </c>
      <c r="G75" s="1" t="str">
        <f t="shared" si="3"/>
        <v/>
      </c>
    </row>
    <row r="76" spans="2:7" hidden="1" x14ac:dyDescent="0.25">
      <c r="B76" s="4" t="s">
        <v>88</v>
      </c>
      <c r="C76" s="52">
        <v>62</v>
      </c>
      <c r="D76" s="52">
        <v>34</v>
      </c>
      <c r="G76" s="1" t="str">
        <f t="shared" si="3"/>
        <v/>
      </c>
    </row>
    <row r="77" spans="2:7" hidden="1" x14ac:dyDescent="0.25">
      <c r="B77" s="4" t="s">
        <v>88</v>
      </c>
      <c r="C77" s="52">
        <v>62</v>
      </c>
      <c r="D77" s="52">
        <v>35</v>
      </c>
      <c r="G77" s="1" t="str">
        <f t="shared" si="3"/>
        <v/>
      </c>
    </row>
    <row r="78" spans="2:7" hidden="1" x14ac:dyDescent="0.25">
      <c r="B78" s="4" t="s">
        <v>88</v>
      </c>
      <c r="C78" s="52">
        <v>62</v>
      </c>
      <c r="D78" s="52">
        <v>36</v>
      </c>
      <c r="G78" s="1" t="str">
        <f t="shared" si="3"/>
        <v/>
      </c>
    </row>
    <row r="79" spans="2:7" hidden="1" x14ac:dyDescent="0.25">
      <c r="B79" s="4" t="s">
        <v>88</v>
      </c>
      <c r="C79" s="52">
        <v>62</v>
      </c>
      <c r="D79" s="52">
        <v>37</v>
      </c>
      <c r="G79" s="1" t="str">
        <f t="shared" si="3"/>
        <v/>
      </c>
    </row>
    <row r="80" spans="2:7" hidden="1" x14ac:dyDescent="0.25">
      <c r="B80" s="4" t="s">
        <v>88</v>
      </c>
      <c r="C80" s="52">
        <v>62</v>
      </c>
      <c r="D80" s="52">
        <v>38</v>
      </c>
      <c r="G80" s="1" t="str">
        <f t="shared" si="3"/>
        <v/>
      </c>
    </row>
    <row r="81" spans="2:7" hidden="1" x14ac:dyDescent="0.25">
      <c r="B81" s="4" t="s">
        <v>88</v>
      </c>
      <c r="C81" s="52">
        <v>62</v>
      </c>
      <c r="D81" s="52">
        <v>39</v>
      </c>
      <c r="G81" s="1" t="str">
        <f t="shared" si="3"/>
        <v/>
      </c>
    </row>
    <row r="82" spans="2:7" hidden="1" x14ac:dyDescent="0.25">
      <c r="B82" s="4" t="s">
        <v>88</v>
      </c>
      <c r="C82" s="52">
        <v>62</v>
      </c>
      <c r="D82" s="52">
        <v>40</v>
      </c>
      <c r="G82" s="1" t="str">
        <f t="shared" si="3"/>
        <v/>
      </c>
    </row>
    <row r="83" spans="2:7" hidden="1" x14ac:dyDescent="0.25">
      <c r="B83" s="4" t="s">
        <v>88</v>
      </c>
      <c r="C83" s="52">
        <v>62</v>
      </c>
      <c r="D83" s="52">
        <v>41</v>
      </c>
      <c r="G83" s="1" t="str">
        <f t="shared" si="3"/>
        <v/>
      </c>
    </row>
    <row r="84" spans="2:7" hidden="1" x14ac:dyDescent="0.25">
      <c r="B84" s="4" t="s">
        <v>88</v>
      </c>
      <c r="C84" s="52">
        <v>62</v>
      </c>
      <c r="D84" s="52">
        <v>42</v>
      </c>
      <c r="G84" s="1" t="str">
        <f t="shared" si="3"/>
        <v/>
      </c>
    </row>
    <row r="85" spans="2:7" hidden="1" x14ac:dyDescent="0.25">
      <c r="B85" s="4" t="s">
        <v>88</v>
      </c>
      <c r="C85" s="52">
        <v>62</v>
      </c>
      <c r="D85" s="52">
        <v>43</v>
      </c>
      <c r="G85" s="1" t="str">
        <f t="shared" si="3"/>
        <v/>
      </c>
    </row>
    <row r="86" spans="2:7" hidden="1" x14ac:dyDescent="0.25">
      <c r="B86" s="4" t="s">
        <v>88</v>
      </c>
      <c r="C86" s="52">
        <v>62</v>
      </c>
      <c r="D86" s="52">
        <v>44</v>
      </c>
      <c r="G86" s="1" t="str">
        <f t="shared" si="3"/>
        <v/>
      </c>
    </row>
    <row r="87" spans="2:7" hidden="1" x14ac:dyDescent="0.25">
      <c r="B87" s="4" t="s">
        <v>88</v>
      </c>
      <c r="C87" s="52">
        <v>62</v>
      </c>
      <c r="D87" s="52">
        <v>45</v>
      </c>
      <c r="G87" s="1" t="str">
        <f t="shared" si="3"/>
        <v/>
      </c>
    </row>
    <row r="88" spans="2:7" hidden="1" x14ac:dyDescent="0.25">
      <c r="B88" s="4" t="s">
        <v>88</v>
      </c>
      <c r="C88" s="52">
        <v>62</v>
      </c>
      <c r="D88" s="52">
        <v>46</v>
      </c>
      <c r="G88" s="1" t="str">
        <f t="shared" si="3"/>
        <v/>
      </c>
    </row>
    <row r="89" spans="2:7" hidden="1" x14ac:dyDescent="0.25">
      <c r="B89" s="4" t="s">
        <v>88</v>
      </c>
      <c r="C89" s="52">
        <v>62</v>
      </c>
      <c r="D89" s="52">
        <v>47</v>
      </c>
      <c r="G89" s="1" t="str">
        <f t="shared" si="3"/>
        <v/>
      </c>
    </row>
    <row r="90" spans="2:7" hidden="1" x14ac:dyDescent="0.25">
      <c r="B90" s="4" t="s">
        <v>88</v>
      </c>
      <c r="C90" s="52">
        <v>62</v>
      </c>
      <c r="D90" s="52">
        <v>48</v>
      </c>
      <c r="G90" s="1" t="str">
        <f t="shared" si="3"/>
        <v/>
      </c>
    </row>
    <row r="91" spans="2:7" hidden="1" x14ac:dyDescent="0.25">
      <c r="B91" s="4" t="s">
        <v>88</v>
      </c>
      <c r="C91" s="52">
        <v>62</v>
      </c>
      <c r="D91" s="52">
        <v>49</v>
      </c>
      <c r="G91" s="1" t="str">
        <f t="shared" si="3"/>
        <v/>
      </c>
    </row>
    <row r="92" spans="2:7" hidden="1" x14ac:dyDescent="0.25">
      <c r="B92" s="4" t="s">
        <v>75</v>
      </c>
      <c r="C92" s="52">
        <v>62</v>
      </c>
      <c r="D92" s="52">
        <v>50</v>
      </c>
      <c r="G92" s="1" t="str">
        <f t="shared" si="3"/>
        <v/>
      </c>
    </row>
    <row r="93" spans="2:7" hidden="1" x14ac:dyDescent="0.25">
      <c r="D93" s="52" t="s">
        <v>42</v>
      </c>
    </row>
    <row r="94" spans="2:7" hidden="1" x14ac:dyDescent="0.25">
      <c r="B94" s="4" t="s">
        <v>75</v>
      </c>
      <c r="C94" s="52">
        <v>62</v>
      </c>
      <c r="D94" s="52">
        <v>51</v>
      </c>
      <c r="G94" s="1" t="str">
        <f t="shared" si="3"/>
        <v/>
      </c>
    </row>
    <row r="95" spans="2:7" hidden="1" x14ac:dyDescent="0.25">
      <c r="B95" s="4" t="s">
        <v>75</v>
      </c>
      <c r="C95" s="52">
        <v>62</v>
      </c>
      <c r="D95" s="52">
        <v>52</v>
      </c>
      <c r="G95" s="1" t="str">
        <f t="shared" si="3"/>
        <v/>
      </c>
    </row>
    <row r="96" spans="2:7" hidden="1" x14ac:dyDescent="0.25">
      <c r="B96" s="4" t="s">
        <v>75</v>
      </c>
      <c r="C96" s="52">
        <v>62</v>
      </c>
      <c r="D96" s="52">
        <v>53</v>
      </c>
      <c r="G96" s="1" t="str">
        <f t="shared" si="3"/>
        <v/>
      </c>
    </row>
    <row r="97" spans="2:7" hidden="1" x14ac:dyDescent="0.25">
      <c r="B97" s="4" t="s">
        <v>75</v>
      </c>
      <c r="C97" s="52">
        <v>62</v>
      </c>
      <c r="D97" s="52">
        <v>54</v>
      </c>
      <c r="G97" s="1" t="str">
        <f t="shared" si="3"/>
        <v/>
      </c>
    </row>
    <row r="98" spans="2:7" hidden="1" x14ac:dyDescent="0.25">
      <c r="B98" s="4" t="s">
        <v>75</v>
      </c>
      <c r="C98" s="52">
        <v>62</v>
      </c>
      <c r="D98" s="52">
        <v>55</v>
      </c>
      <c r="G98" s="1" t="str">
        <f t="shared" si="3"/>
        <v/>
      </c>
    </row>
    <row r="99" spans="2:7" hidden="1" x14ac:dyDescent="0.25">
      <c r="B99" s="4" t="s">
        <v>75</v>
      </c>
      <c r="C99" s="52">
        <v>62</v>
      </c>
      <c r="D99" s="52">
        <v>56</v>
      </c>
      <c r="G99" s="1" t="str">
        <f t="shared" si="3"/>
        <v/>
      </c>
    </row>
    <row r="100" spans="2:7" hidden="1" x14ac:dyDescent="0.25">
      <c r="B100" s="4" t="s">
        <v>75</v>
      </c>
      <c r="C100" s="52">
        <v>62</v>
      </c>
      <c r="D100" s="52">
        <v>57</v>
      </c>
      <c r="G100" s="1" t="str">
        <f t="shared" si="3"/>
        <v/>
      </c>
    </row>
    <row r="101" spans="2:7" hidden="1" x14ac:dyDescent="0.25">
      <c r="B101" s="4" t="s">
        <v>75</v>
      </c>
      <c r="C101" s="52">
        <v>62</v>
      </c>
      <c r="D101" s="52">
        <v>58</v>
      </c>
      <c r="G101" s="1" t="str">
        <f t="shared" si="3"/>
        <v/>
      </c>
    </row>
    <row r="102" spans="2:7" hidden="1" x14ac:dyDescent="0.25">
      <c r="B102" s="4" t="s">
        <v>75</v>
      </c>
      <c r="C102" s="52">
        <v>62</v>
      </c>
      <c r="D102" s="52">
        <v>59</v>
      </c>
      <c r="G102" s="1" t="str">
        <f t="shared" si="3"/>
        <v/>
      </c>
    </row>
    <row r="103" spans="2:7" hidden="1" x14ac:dyDescent="0.25">
      <c r="B103" s="4" t="s">
        <v>75</v>
      </c>
      <c r="C103" s="52">
        <v>62</v>
      </c>
      <c r="D103" s="52">
        <v>60</v>
      </c>
      <c r="G103" s="1" t="str">
        <f t="shared" si="3"/>
        <v/>
      </c>
    </row>
    <row r="104" spans="2:7" hidden="1" x14ac:dyDescent="0.25">
      <c r="B104" s="4" t="s">
        <v>75</v>
      </c>
      <c r="C104" s="52">
        <v>62</v>
      </c>
      <c r="D104" s="52">
        <v>61</v>
      </c>
      <c r="G104" s="1" t="str">
        <f t="shared" si="3"/>
        <v/>
      </c>
    </row>
    <row r="105" spans="2:7" hidden="1" x14ac:dyDescent="0.25">
      <c r="B105" s="4" t="s">
        <v>75</v>
      </c>
      <c r="C105" s="52">
        <v>62</v>
      </c>
      <c r="D105" s="52">
        <v>62</v>
      </c>
      <c r="G105" s="1" t="str">
        <f t="shared" si="3"/>
        <v/>
      </c>
    </row>
    <row r="106" spans="2:7" hidden="1" x14ac:dyDescent="0.25">
      <c r="B106" s="4" t="s">
        <v>75</v>
      </c>
      <c r="C106" s="52">
        <v>62</v>
      </c>
      <c r="D106" s="52">
        <v>63</v>
      </c>
      <c r="G106" s="1" t="str">
        <f t="shared" si="3"/>
        <v/>
      </c>
    </row>
    <row r="107" spans="2:7" hidden="1" x14ac:dyDescent="0.25">
      <c r="B107" s="4" t="s">
        <v>75</v>
      </c>
      <c r="C107" s="52">
        <v>62</v>
      </c>
      <c r="D107" s="52">
        <v>64</v>
      </c>
      <c r="G107" s="1" t="str">
        <f t="shared" si="3"/>
        <v/>
      </c>
    </row>
    <row r="108" spans="2:7" hidden="1" x14ac:dyDescent="0.25">
      <c r="B108" s="4" t="s">
        <v>75</v>
      </c>
      <c r="C108" s="52">
        <v>62</v>
      </c>
      <c r="D108" s="52">
        <v>65</v>
      </c>
      <c r="G108" s="1" t="str">
        <f t="shared" ref="G108:G142" si="4">IF(ISBLANK(F108),"",_xlfn.TEXTJOIN("",TRUE,TEXT(D108,"00"),TEXT(LEN(F108),"00"),F108))</f>
        <v/>
      </c>
    </row>
    <row r="109" spans="2:7" hidden="1" x14ac:dyDescent="0.25">
      <c r="B109" s="4" t="s">
        <v>75</v>
      </c>
      <c r="C109" s="52">
        <v>62</v>
      </c>
      <c r="D109" s="52">
        <v>66</v>
      </c>
      <c r="G109" s="1" t="str">
        <f t="shared" si="4"/>
        <v/>
      </c>
    </row>
    <row r="110" spans="2:7" hidden="1" x14ac:dyDescent="0.25">
      <c r="B110" s="4" t="s">
        <v>75</v>
      </c>
      <c r="C110" s="52">
        <v>62</v>
      </c>
      <c r="D110" s="52">
        <v>67</v>
      </c>
      <c r="G110" s="1" t="str">
        <f t="shared" si="4"/>
        <v/>
      </c>
    </row>
    <row r="111" spans="2:7" hidden="1" x14ac:dyDescent="0.25">
      <c r="B111" s="4" t="s">
        <v>75</v>
      </c>
      <c r="C111" s="52">
        <v>62</v>
      </c>
      <c r="D111" s="52">
        <v>68</v>
      </c>
      <c r="G111" s="1" t="str">
        <f t="shared" si="4"/>
        <v/>
      </c>
    </row>
    <row r="112" spans="2:7" hidden="1" x14ac:dyDescent="0.25">
      <c r="B112" s="4" t="s">
        <v>75</v>
      </c>
      <c r="C112" s="52">
        <v>62</v>
      </c>
      <c r="D112" s="52">
        <v>69</v>
      </c>
      <c r="G112" s="1" t="str">
        <f t="shared" si="4"/>
        <v/>
      </c>
    </row>
    <row r="113" spans="2:7" hidden="1" x14ac:dyDescent="0.25">
      <c r="B113" s="4" t="s">
        <v>75</v>
      </c>
      <c r="C113" s="52">
        <v>62</v>
      </c>
      <c r="D113" s="52">
        <v>70</v>
      </c>
      <c r="G113" s="1" t="str">
        <f t="shared" si="4"/>
        <v/>
      </c>
    </row>
    <row r="114" spans="2:7" hidden="1" x14ac:dyDescent="0.25">
      <c r="B114" s="4" t="s">
        <v>75</v>
      </c>
      <c r="C114" s="52">
        <v>62</v>
      </c>
      <c r="D114" s="52">
        <v>71</v>
      </c>
      <c r="G114" s="1" t="str">
        <f t="shared" si="4"/>
        <v/>
      </c>
    </row>
    <row r="115" spans="2:7" hidden="1" x14ac:dyDescent="0.25">
      <c r="B115" s="4" t="s">
        <v>75</v>
      </c>
      <c r="C115" s="52">
        <v>62</v>
      </c>
      <c r="D115" s="52">
        <v>72</v>
      </c>
      <c r="G115" s="1" t="str">
        <f t="shared" si="4"/>
        <v/>
      </c>
    </row>
    <row r="116" spans="2:7" hidden="1" x14ac:dyDescent="0.25">
      <c r="B116" s="4" t="s">
        <v>75</v>
      </c>
      <c r="C116" s="52">
        <v>62</v>
      </c>
      <c r="D116" s="52">
        <v>73</v>
      </c>
      <c r="G116" s="1" t="str">
        <f t="shared" si="4"/>
        <v/>
      </c>
    </row>
    <row r="117" spans="2:7" hidden="1" x14ac:dyDescent="0.25">
      <c r="B117" s="4" t="s">
        <v>75</v>
      </c>
      <c r="C117" s="52">
        <v>62</v>
      </c>
      <c r="D117" s="52">
        <v>74</v>
      </c>
      <c r="G117" s="1" t="str">
        <f t="shared" si="4"/>
        <v/>
      </c>
    </row>
    <row r="118" spans="2:7" hidden="1" x14ac:dyDescent="0.25">
      <c r="B118" s="4" t="s">
        <v>75</v>
      </c>
      <c r="C118" s="52">
        <v>62</v>
      </c>
      <c r="D118" s="52">
        <v>75</v>
      </c>
      <c r="G118" s="1" t="str">
        <f t="shared" si="4"/>
        <v/>
      </c>
    </row>
    <row r="119" spans="2:7" hidden="1" x14ac:dyDescent="0.25">
      <c r="B119" s="4" t="s">
        <v>75</v>
      </c>
      <c r="C119" s="52">
        <v>62</v>
      </c>
      <c r="D119" s="52">
        <v>76</v>
      </c>
      <c r="G119" s="1" t="str">
        <f t="shared" si="4"/>
        <v/>
      </c>
    </row>
    <row r="120" spans="2:7" hidden="1" x14ac:dyDescent="0.25">
      <c r="B120" s="4" t="s">
        <v>75</v>
      </c>
      <c r="C120" s="52">
        <v>62</v>
      </c>
      <c r="D120" s="52">
        <v>77</v>
      </c>
      <c r="G120" s="1" t="str">
        <f t="shared" si="4"/>
        <v/>
      </c>
    </row>
    <row r="121" spans="2:7" hidden="1" x14ac:dyDescent="0.25">
      <c r="B121" s="4" t="s">
        <v>75</v>
      </c>
      <c r="C121" s="52">
        <v>62</v>
      </c>
      <c r="D121" s="52">
        <v>78</v>
      </c>
      <c r="G121" s="1" t="str">
        <f t="shared" si="4"/>
        <v/>
      </c>
    </row>
    <row r="122" spans="2:7" hidden="1" x14ac:dyDescent="0.25">
      <c r="B122" s="4" t="s">
        <v>75</v>
      </c>
      <c r="C122" s="52">
        <v>62</v>
      </c>
      <c r="D122" s="52">
        <v>79</v>
      </c>
      <c r="G122" s="1" t="str">
        <f t="shared" si="4"/>
        <v/>
      </c>
    </row>
    <row r="123" spans="2:7" hidden="1" x14ac:dyDescent="0.25">
      <c r="B123" s="4" t="s">
        <v>75</v>
      </c>
      <c r="C123" s="52">
        <v>62</v>
      </c>
      <c r="D123" s="52">
        <v>80</v>
      </c>
      <c r="G123" s="1" t="str">
        <f t="shared" si="4"/>
        <v/>
      </c>
    </row>
    <row r="124" spans="2:7" hidden="1" x14ac:dyDescent="0.25">
      <c r="B124" s="4" t="s">
        <v>75</v>
      </c>
      <c r="C124" s="52">
        <v>62</v>
      </c>
      <c r="D124" s="52">
        <v>81</v>
      </c>
      <c r="G124" s="1" t="str">
        <f t="shared" si="4"/>
        <v/>
      </c>
    </row>
    <row r="125" spans="2:7" hidden="1" x14ac:dyDescent="0.25">
      <c r="B125" s="4" t="s">
        <v>75</v>
      </c>
      <c r="C125" s="52">
        <v>62</v>
      </c>
      <c r="D125" s="52">
        <v>82</v>
      </c>
      <c r="G125" s="1" t="str">
        <f t="shared" si="4"/>
        <v/>
      </c>
    </row>
    <row r="126" spans="2:7" hidden="1" x14ac:dyDescent="0.25">
      <c r="B126" s="4" t="s">
        <v>75</v>
      </c>
      <c r="C126" s="52">
        <v>62</v>
      </c>
      <c r="D126" s="52">
        <v>83</v>
      </c>
      <c r="G126" s="1" t="str">
        <f t="shared" si="4"/>
        <v/>
      </c>
    </row>
    <row r="127" spans="2:7" hidden="1" x14ac:dyDescent="0.25">
      <c r="B127" s="4" t="s">
        <v>75</v>
      </c>
      <c r="C127" s="52">
        <v>62</v>
      </c>
      <c r="D127" s="52">
        <v>84</v>
      </c>
      <c r="G127" s="1" t="str">
        <f t="shared" si="4"/>
        <v/>
      </c>
    </row>
    <row r="128" spans="2:7" hidden="1" x14ac:dyDescent="0.25">
      <c r="B128" s="4" t="s">
        <v>75</v>
      </c>
      <c r="C128" s="52">
        <v>62</v>
      </c>
      <c r="D128" s="52">
        <v>85</v>
      </c>
      <c r="G128" s="1" t="str">
        <f t="shared" si="4"/>
        <v/>
      </c>
    </row>
    <row r="129" spans="2:7" hidden="1" x14ac:dyDescent="0.25">
      <c r="B129" s="4" t="s">
        <v>75</v>
      </c>
      <c r="C129" s="52">
        <v>62</v>
      </c>
      <c r="D129" s="52">
        <v>86</v>
      </c>
      <c r="G129" s="1" t="str">
        <f t="shared" si="4"/>
        <v/>
      </c>
    </row>
    <row r="130" spans="2:7" hidden="1" x14ac:dyDescent="0.25">
      <c r="B130" s="4" t="s">
        <v>75</v>
      </c>
      <c r="C130" s="52">
        <v>62</v>
      </c>
      <c r="D130" s="52">
        <v>87</v>
      </c>
      <c r="G130" s="1" t="str">
        <f t="shared" si="4"/>
        <v/>
      </c>
    </row>
    <row r="131" spans="2:7" hidden="1" x14ac:dyDescent="0.25">
      <c r="B131" s="4" t="s">
        <v>75</v>
      </c>
      <c r="C131" s="52">
        <v>62</v>
      </c>
      <c r="D131" s="52">
        <v>88</v>
      </c>
      <c r="G131" s="1" t="str">
        <f t="shared" si="4"/>
        <v/>
      </c>
    </row>
    <row r="132" spans="2:7" hidden="1" x14ac:dyDescent="0.25">
      <c r="B132" s="4" t="s">
        <v>75</v>
      </c>
      <c r="C132" s="52">
        <v>62</v>
      </c>
      <c r="D132" s="52">
        <v>89</v>
      </c>
      <c r="G132" s="1" t="str">
        <f t="shared" si="4"/>
        <v/>
      </c>
    </row>
    <row r="133" spans="2:7" hidden="1" x14ac:dyDescent="0.25">
      <c r="B133" s="4" t="s">
        <v>75</v>
      </c>
      <c r="C133" s="52">
        <v>62</v>
      </c>
      <c r="D133" s="52">
        <v>90</v>
      </c>
      <c r="G133" s="1" t="str">
        <f t="shared" si="4"/>
        <v/>
      </c>
    </row>
    <row r="134" spans="2:7" hidden="1" x14ac:dyDescent="0.25">
      <c r="B134" s="4" t="s">
        <v>75</v>
      </c>
      <c r="C134" s="52">
        <v>62</v>
      </c>
      <c r="D134" s="52">
        <v>91</v>
      </c>
      <c r="G134" s="1" t="str">
        <f t="shared" si="4"/>
        <v/>
      </c>
    </row>
    <row r="135" spans="2:7" hidden="1" x14ac:dyDescent="0.25">
      <c r="B135" s="4" t="s">
        <v>75</v>
      </c>
      <c r="C135" s="52">
        <v>62</v>
      </c>
      <c r="D135" s="52">
        <v>92</v>
      </c>
      <c r="G135" s="1" t="str">
        <f t="shared" si="4"/>
        <v/>
      </c>
    </row>
    <row r="136" spans="2:7" hidden="1" x14ac:dyDescent="0.25">
      <c r="B136" s="4" t="s">
        <v>75</v>
      </c>
      <c r="C136" s="52">
        <v>62</v>
      </c>
      <c r="D136" s="52">
        <v>93</v>
      </c>
      <c r="G136" s="1" t="str">
        <f t="shared" si="4"/>
        <v/>
      </c>
    </row>
    <row r="137" spans="2:7" hidden="1" x14ac:dyDescent="0.25">
      <c r="B137" s="4" t="s">
        <v>75</v>
      </c>
      <c r="C137" s="52">
        <v>62</v>
      </c>
      <c r="D137" s="52">
        <v>94</v>
      </c>
      <c r="G137" s="1" t="str">
        <f t="shared" si="4"/>
        <v/>
      </c>
    </row>
    <row r="138" spans="2:7" hidden="1" x14ac:dyDescent="0.25">
      <c r="B138" s="4" t="s">
        <v>75</v>
      </c>
      <c r="C138" s="52">
        <v>62</v>
      </c>
      <c r="D138" s="52">
        <v>95</v>
      </c>
      <c r="G138" s="1" t="str">
        <f t="shared" si="4"/>
        <v/>
      </c>
    </row>
    <row r="139" spans="2:7" hidden="1" x14ac:dyDescent="0.25">
      <c r="B139" s="4" t="s">
        <v>75</v>
      </c>
      <c r="C139" s="52">
        <v>62</v>
      </c>
      <c r="D139" s="52">
        <v>96</v>
      </c>
      <c r="G139" s="1" t="str">
        <f t="shared" si="4"/>
        <v/>
      </c>
    </row>
    <row r="140" spans="2:7" hidden="1" x14ac:dyDescent="0.25">
      <c r="B140" s="4" t="s">
        <v>75</v>
      </c>
      <c r="C140" s="52">
        <v>62</v>
      </c>
      <c r="D140" s="52">
        <v>97</v>
      </c>
      <c r="G140" s="1" t="str">
        <f t="shared" si="4"/>
        <v/>
      </c>
    </row>
    <row r="141" spans="2:7" hidden="1" x14ac:dyDescent="0.25">
      <c r="B141" s="4" t="s">
        <v>75</v>
      </c>
      <c r="C141" s="52">
        <v>62</v>
      </c>
      <c r="D141" s="52">
        <v>98</v>
      </c>
      <c r="G141" s="1" t="str">
        <f t="shared" si="4"/>
        <v/>
      </c>
    </row>
    <row r="142" spans="2:7" hidden="1" x14ac:dyDescent="0.25">
      <c r="B142" s="4" t="s">
        <v>75</v>
      </c>
      <c r="C142" s="52">
        <v>62</v>
      </c>
      <c r="D142" s="52">
        <v>99</v>
      </c>
      <c r="G142" s="1" t="str">
        <f t="shared" si="4"/>
        <v/>
      </c>
    </row>
    <row r="143" spans="2:7" x14ac:dyDescent="0.25">
      <c r="B143" s="4" t="s">
        <v>80</v>
      </c>
      <c r="C143" s="52">
        <v>64</v>
      </c>
      <c r="E143" s="4">
        <v>99</v>
      </c>
    </row>
    <row r="144" spans="2:7" x14ac:dyDescent="0.25">
      <c r="B144" s="4" t="s">
        <v>82</v>
      </c>
      <c r="C144" s="52">
        <v>64</v>
      </c>
      <c r="D144" s="52">
        <v>0</v>
      </c>
      <c r="E144" s="4">
        <v>2</v>
      </c>
      <c r="G144" s="1" t="str">
        <f>IF(ISBLANK(F144),"",_xlfn.TEXTJOIN("",TRUE,TEXT(D144,"00"),TEXT(LEN(F144),"00"),F144))</f>
        <v/>
      </c>
    </row>
    <row r="145" spans="2:7" x14ac:dyDescent="0.25">
      <c r="B145" s="4" t="s">
        <v>465</v>
      </c>
      <c r="C145" s="52">
        <v>64</v>
      </c>
      <c r="D145" s="52">
        <v>1</v>
      </c>
      <c r="E145" s="4">
        <v>25</v>
      </c>
      <c r="G145" s="1" t="str">
        <f t="shared" ref="G145:G146" si="5">IF(ISBLANK(F145),"",_xlfn.TEXTJOIN("",TRUE,TEXT(D145,"00"),TEXT(LEN(F145),"00"),F145))</f>
        <v/>
      </c>
    </row>
    <row r="146" spans="2:7" x14ac:dyDescent="0.25">
      <c r="B146" s="4" t="s">
        <v>466</v>
      </c>
      <c r="C146" s="52">
        <v>64</v>
      </c>
      <c r="D146" s="52">
        <v>2</v>
      </c>
      <c r="E146" s="4">
        <v>15</v>
      </c>
      <c r="G146" s="1" t="str">
        <f t="shared" si="5"/>
        <v/>
      </c>
    </row>
    <row r="147" spans="2:7" x14ac:dyDescent="0.25">
      <c r="B147" s="4" t="s">
        <v>88</v>
      </c>
      <c r="C147" s="52">
        <v>65</v>
      </c>
      <c r="E147" s="4">
        <v>99</v>
      </c>
    </row>
    <row r="148" spans="2:7" x14ac:dyDescent="0.25">
      <c r="C148" s="52" t="s">
        <v>42</v>
      </c>
    </row>
    <row r="149" spans="2:7" x14ac:dyDescent="0.25">
      <c r="B149" s="4" t="s">
        <v>88</v>
      </c>
      <c r="C149" s="52">
        <v>66</v>
      </c>
      <c r="E149" s="4">
        <v>99</v>
      </c>
    </row>
    <row r="150" spans="2:7" x14ac:dyDescent="0.25">
      <c r="B150" s="4" t="s">
        <v>88</v>
      </c>
      <c r="C150" s="52">
        <v>67</v>
      </c>
      <c r="E150" s="4">
        <v>99</v>
      </c>
    </row>
    <row r="151" spans="2:7" x14ac:dyDescent="0.25">
      <c r="B151" s="4" t="s">
        <v>88</v>
      </c>
      <c r="C151" s="52">
        <v>68</v>
      </c>
      <c r="E151" s="4">
        <v>99</v>
      </c>
    </row>
    <row r="152" spans="2:7" x14ac:dyDescent="0.25">
      <c r="B152" s="4" t="s">
        <v>88</v>
      </c>
      <c r="C152" s="52">
        <v>69</v>
      </c>
      <c r="E152" s="4">
        <v>99</v>
      </c>
    </row>
    <row r="153" spans="2:7" x14ac:dyDescent="0.25">
      <c r="B153" s="4" t="s">
        <v>88</v>
      </c>
      <c r="C153" s="52">
        <v>70</v>
      </c>
      <c r="E153" s="4">
        <v>99</v>
      </c>
    </row>
    <row r="154" spans="2:7" x14ac:dyDescent="0.25">
      <c r="B154" s="4" t="s">
        <v>88</v>
      </c>
      <c r="C154" s="52">
        <v>71</v>
      </c>
      <c r="E154" s="4">
        <v>99</v>
      </c>
    </row>
    <row r="155" spans="2:7" x14ac:dyDescent="0.25">
      <c r="B155" s="4" t="s">
        <v>88</v>
      </c>
      <c r="C155" s="52">
        <v>72</v>
      </c>
      <c r="E155" s="4">
        <v>99</v>
      </c>
    </row>
    <row r="156" spans="2:7" x14ac:dyDescent="0.25">
      <c r="B156" s="4" t="s">
        <v>88</v>
      </c>
      <c r="C156" s="52">
        <v>73</v>
      </c>
      <c r="E156" s="4">
        <v>99</v>
      </c>
    </row>
    <row r="157" spans="2:7" x14ac:dyDescent="0.25">
      <c r="B157" s="4" t="s">
        <v>88</v>
      </c>
      <c r="C157" s="52">
        <v>74</v>
      </c>
      <c r="E157" s="4">
        <v>99</v>
      </c>
    </row>
    <row r="158" spans="2:7" x14ac:dyDescent="0.25">
      <c r="B158" s="4" t="s">
        <v>88</v>
      </c>
      <c r="C158" s="52">
        <v>75</v>
      </c>
      <c r="E158" s="4">
        <v>99</v>
      </c>
    </row>
    <row r="159" spans="2:7" x14ac:dyDescent="0.25">
      <c r="B159" s="4" t="s">
        <v>88</v>
      </c>
      <c r="C159" s="52">
        <v>76</v>
      </c>
      <c r="E159" s="4">
        <v>99</v>
      </c>
    </row>
    <row r="160" spans="2:7" x14ac:dyDescent="0.25">
      <c r="B160" s="4" t="s">
        <v>88</v>
      </c>
      <c r="C160" s="52">
        <v>77</v>
      </c>
      <c r="E160" s="4">
        <v>99</v>
      </c>
    </row>
    <row r="161" spans="2:5" x14ac:dyDescent="0.25">
      <c r="B161" s="4" t="s">
        <v>88</v>
      </c>
      <c r="C161" s="52">
        <v>78</v>
      </c>
      <c r="E161" s="4">
        <v>99</v>
      </c>
    </row>
    <row r="162" spans="2:5" x14ac:dyDescent="0.25">
      <c r="B162" s="4" t="s">
        <v>88</v>
      </c>
      <c r="C162" s="52">
        <v>79</v>
      </c>
      <c r="E162" s="4">
        <v>99</v>
      </c>
    </row>
    <row r="163" spans="2:5" x14ac:dyDescent="0.25">
      <c r="B163" s="4" t="s">
        <v>90</v>
      </c>
      <c r="C163" s="52">
        <v>80</v>
      </c>
      <c r="E163" s="4">
        <v>99</v>
      </c>
    </row>
    <row r="164" spans="2:5" x14ac:dyDescent="0.25">
      <c r="C164" s="52" t="s">
        <v>42</v>
      </c>
    </row>
    <row r="165" spans="2:5" x14ac:dyDescent="0.25">
      <c r="B165" s="4" t="s">
        <v>90</v>
      </c>
      <c r="C165" s="52">
        <v>81</v>
      </c>
      <c r="E165" s="4">
        <v>99</v>
      </c>
    </row>
    <row r="166" spans="2:5" x14ac:dyDescent="0.25">
      <c r="B166" s="4" t="s">
        <v>90</v>
      </c>
      <c r="C166" s="52">
        <v>82</v>
      </c>
      <c r="E166" s="4">
        <v>99</v>
      </c>
    </row>
    <row r="167" spans="2:5" x14ac:dyDescent="0.25">
      <c r="B167" s="4" t="s">
        <v>90</v>
      </c>
      <c r="C167" s="52">
        <v>83</v>
      </c>
      <c r="E167" s="4">
        <v>99</v>
      </c>
    </row>
    <row r="168" spans="2:5" x14ac:dyDescent="0.25">
      <c r="B168" s="4" t="s">
        <v>90</v>
      </c>
      <c r="C168" s="52">
        <v>84</v>
      </c>
      <c r="E168" s="4">
        <v>99</v>
      </c>
    </row>
    <row r="169" spans="2:5" x14ac:dyDescent="0.25">
      <c r="B169" s="4" t="s">
        <v>90</v>
      </c>
      <c r="C169" s="52">
        <v>85</v>
      </c>
      <c r="E169" s="4">
        <v>99</v>
      </c>
    </row>
    <row r="170" spans="2:5" x14ac:dyDescent="0.25">
      <c r="B170" s="4" t="s">
        <v>90</v>
      </c>
      <c r="C170" s="52">
        <v>86</v>
      </c>
      <c r="E170" s="4">
        <v>99</v>
      </c>
    </row>
    <row r="171" spans="2:5" x14ac:dyDescent="0.25">
      <c r="B171" s="4" t="s">
        <v>90</v>
      </c>
      <c r="C171" s="52">
        <v>87</v>
      </c>
      <c r="E171" s="4">
        <v>99</v>
      </c>
    </row>
    <row r="172" spans="2:5" x14ac:dyDescent="0.25">
      <c r="B172" s="4" t="s">
        <v>90</v>
      </c>
      <c r="C172" s="52">
        <v>88</v>
      </c>
      <c r="E172" s="4">
        <v>99</v>
      </c>
    </row>
    <row r="173" spans="2:5" x14ac:dyDescent="0.25">
      <c r="B173" s="4" t="s">
        <v>90</v>
      </c>
      <c r="C173" s="52">
        <v>89</v>
      </c>
      <c r="E173" s="4">
        <v>99</v>
      </c>
    </row>
    <row r="174" spans="2:5" x14ac:dyDescent="0.25">
      <c r="B174" s="4" t="s">
        <v>90</v>
      </c>
      <c r="C174" s="52">
        <v>90</v>
      </c>
      <c r="E174" s="4">
        <v>99</v>
      </c>
    </row>
    <row r="175" spans="2:5" x14ac:dyDescent="0.25">
      <c r="B175" s="4" t="s">
        <v>90</v>
      </c>
      <c r="C175" s="52">
        <v>91</v>
      </c>
      <c r="E175" s="4">
        <v>99</v>
      </c>
    </row>
    <row r="176" spans="2:5" x14ac:dyDescent="0.25">
      <c r="B176" s="4" t="s">
        <v>90</v>
      </c>
      <c r="C176" s="52">
        <v>92</v>
      </c>
      <c r="E176" s="4">
        <v>99</v>
      </c>
    </row>
    <row r="177" spans="2:5" x14ac:dyDescent="0.25">
      <c r="B177" s="4" t="s">
        <v>90</v>
      </c>
      <c r="C177" s="52">
        <v>93</v>
      </c>
      <c r="E177" s="4">
        <v>99</v>
      </c>
    </row>
    <row r="178" spans="2:5" x14ac:dyDescent="0.25">
      <c r="B178" s="4" t="s">
        <v>90</v>
      </c>
      <c r="C178" s="52">
        <v>94</v>
      </c>
      <c r="E178" s="4">
        <v>99</v>
      </c>
    </row>
    <row r="179" spans="2:5" x14ac:dyDescent="0.25">
      <c r="B179" s="4" t="s">
        <v>90</v>
      </c>
      <c r="C179" s="52">
        <v>95</v>
      </c>
      <c r="E179" s="4">
        <v>99</v>
      </c>
    </row>
    <row r="180" spans="2:5" x14ac:dyDescent="0.25">
      <c r="B180" s="4" t="s">
        <v>90</v>
      </c>
      <c r="C180" s="52">
        <v>96</v>
      </c>
      <c r="E180" s="4">
        <v>99</v>
      </c>
    </row>
    <row r="181" spans="2:5" x14ac:dyDescent="0.25">
      <c r="B181" s="4" t="s">
        <v>90</v>
      </c>
      <c r="C181" s="52">
        <v>97</v>
      </c>
      <c r="E181" s="4">
        <v>99</v>
      </c>
    </row>
    <row r="182" spans="2:5" x14ac:dyDescent="0.25">
      <c r="B182" s="4" t="s">
        <v>90</v>
      </c>
      <c r="C182" s="52">
        <v>98</v>
      </c>
      <c r="E182" s="4">
        <v>99</v>
      </c>
    </row>
    <row r="183" spans="2:5" x14ac:dyDescent="0.25">
      <c r="B183" s="4" t="s">
        <v>90</v>
      </c>
      <c r="C183" s="52">
        <v>99</v>
      </c>
      <c r="E183" s="4">
        <v>99</v>
      </c>
    </row>
    <row r="1605" hidden="1" x14ac:dyDescent="0.25"/>
    <row r="1606" hidden="1" x14ac:dyDescent="0.25"/>
    <row r="1607" hidden="1" x14ac:dyDescent="0.25"/>
    <row r="1608" hidden="1" x14ac:dyDescent="0.25"/>
    <row r="1609" hidden="1" x14ac:dyDescent="0.25"/>
    <row r="1610" hidden="1" x14ac:dyDescent="0.25"/>
    <row r="1611" hidden="1" x14ac:dyDescent="0.25"/>
    <row r="1612" hidden="1" x14ac:dyDescent="0.25"/>
    <row r="1613" hidden="1" x14ac:dyDescent="0.25"/>
    <row r="1614" hidden="1" x14ac:dyDescent="0.25"/>
    <row r="1615" hidden="1" x14ac:dyDescent="0.25"/>
    <row r="1616" hidden="1" x14ac:dyDescent="0.25"/>
    <row r="1617" hidden="1" x14ac:dyDescent="0.25"/>
    <row r="1618" hidden="1" x14ac:dyDescent="0.25"/>
    <row r="1619" hidden="1" x14ac:dyDescent="0.25"/>
    <row r="1620" hidden="1" x14ac:dyDescent="0.25"/>
    <row r="1621" hidden="1" x14ac:dyDescent="0.25"/>
    <row r="1622" hidden="1" x14ac:dyDescent="0.25"/>
    <row r="1623" hidden="1" x14ac:dyDescent="0.25"/>
    <row r="1624" hidden="1" x14ac:dyDescent="0.25"/>
    <row r="1625" hidden="1" x14ac:dyDescent="0.25"/>
    <row r="1626" hidden="1" x14ac:dyDescent="0.25"/>
    <row r="1627" hidden="1" x14ac:dyDescent="0.25"/>
    <row r="1628" hidden="1" x14ac:dyDescent="0.25"/>
    <row r="1629" hidden="1" x14ac:dyDescent="0.25"/>
    <row r="1630" hidden="1" x14ac:dyDescent="0.25"/>
    <row r="1631" hidden="1" x14ac:dyDescent="0.25"/>
    <row r="1632" hidden="1" x14ac:dyDescent="0.25"/>
    <row r="1633" hidden="1" x14ac:dyDescent="0.25"/>
    <row r="1634" hidden="1" x14ac:dyDescent="0.25"/>
    <row r="1635" hidden="1" x14ac:dyDescent="0.25"/>
    <row r="1636" hidden="1" x14ac:dyDescent="0.25"/>
    <row r="1637" hidden="1" x14ac:dyDescent="0.25"/>
    <row r="1638" hidden="1" x14ac:dyDescent="0.25"/>
    <row r="1639" hidden="1" x14ac:dyDescent="0.25"/>
    <row r="1640" hidden="1" x14ac:dyDescent="0.25"/>
    <row r="1641" hidden="1" x14ac:dyDescent="0.25"/>
    <row r="1642" hidden="1" x14ac:dyDescent="0.25"/>
    <row r="1643" hidden="1" x14ac:dyDescent="0.25"/>
    <row r="1646" hidden="1" x14ac:dyDescent="0.25"/>
    <row r="1647" hidden="1" x14ac:dyDescent="0.25"/>
    <row r="1648" hidden="1" x14ac:dyDescent="0.25"/>
    <row r="1649" hidden="1" x14ac:dyDescent="0.25"/>
    <row r="1650" hidden="1" x14ac:dyDescent="0.25"/>
    <row r="1651" hidden="1" x14ac:dyDescent="0.25"/>
    <row r="1652" hidden="1" x14ac:dyDescent="0.25"/>
    <row r="1653" hidden="1" x14ac:dyDescent="0.25"/>
    <row r="1654" hidden="1" x14ac:dyDescent="0.25"/>
    <row r="1655" hidden="1" x14ac:dyDescent="0.25"/>
    <row r="1656" hidden="1" x14ac:dyDescent="0.25"/>
    <row r="1657" hidden="1" x14ac:dyDescent="0.25"/>
    <row r="1658" hidden="1" x14ac:dyDescent="0.25"/>
    <row r="1659" hidden="1" x14ac:dyDescent="0.25"/>
    <row r="1660" hidden="1" x14ac:dyDescent="0.25"/>
    <row r="1661" hidden="1" x14ac:dyDescent="0.25"/>
    <row r="1662" hidden="1" x14ac:dyDescent="0.25"/>
    <row r="1663" hidden="1" x14ac:dyDescent="0.25"/>
    <row r="1664" hidden="1" x14ac:dyDescent="0.25"/>
    <row r="1665" hidden="1" x14ac:dyDescent="0.25"/>
    <row r="1666" hidden="1" x14ac:dyDescent="0.25"/>
    <row r="1667" hidden="1" x14ac:dyDescent="0.25"/>
    <row r="1668" hidden="1" x14ac:dyDescent="0.25"/>
    <row r="1669" hidden="1" x14ac:dyDescent="0.25"/>
    <row r="1670" hidden="1" x14ac:dyDescent="0.25"/>
    <row r="1671" hidden="1" x14ac:dyDescent="0.25"/>
    <row r="1672" hidden="1" x14ac:dyDescent="0.25"/>
    <row r="1673" hidden="1" x14ac:dyDescent="0.25"/>
    <row r="1674" hidden="1" x14ac:dyDescent="0.25"/>
    <row r="1675" hidden="1" x14ac:dyDescent="0.25"/>
    <row r="1676" hidden="1" x14ac:dyDescent="0.25"/>
    <row r="1677" hidden="1" x14ac:dyDescent="0.25"/>
    <row r="1678" hidden="1" x14ac:dyDescent="0.25"/>
    <row r="1679" hidden="1" x14ac:dyDescent="0.25"/>
    <row r="1680" hidden="1" x14ac:dyDescent="0.25"/>
    <row r="1681" hidden="1" x14ac:dyDescent="0.25"/>
    <row r="1682" hidden="1" x14ac:dyDescent="0.25"/>
    <row r="1683" hidden="1" x14ac:dyDescent="0.25"/>
    <row r="1684" hidden="1" x14ac:dyDescent="0.25"/>
    <row r="1685" hidden="1" x14ac:dyDescent="0.25"/>
    <row r="1686" hidden="1" x14ac:dyDescent="0.25"/>
    <row r="1687" hidden="1" x14ac:dyDescent="0.25"/>
    <row r="1688" hidden="1" x14ac:dyDescent="0.25"/>
    <row r="1689" hidden="1" x14ac:dyDescent="0.25"/>
    <row r="1690" hidden="1" x14ac:dyDescent="0.25"/>
    <row r="1691" hidden="1" x14ac:dyDescent="0.25"/>
    <row r="1692" hidden="1" x14ac:dyDescent="0.25"/>
    <row r="1693" hidden="1" x14ac:dyDescent="0.25"/>
    <row r="1694" hidden="1" x14ac:dyDescent="0.25"/>
    <row r="1698" hidden="1" x14ac:dyDescent="0.25"/>
    <row r="1699" hidden="1" x14ac:dyDescent="0.25"/>
    <row r="1700" hidden="1" x14ac:dyDescent="0.25"/>
    <row r="1701" hidden="1" x14ac:dyDescent="0.25"/>
    <row r="1702" hidden="1" x14ac:dyDescent="0.25"/>
    <row r="1703" hidden="1" x14ac:dyDescent="0.25"/>
    <row r="1704" hidden="1" x14ac:dyDescent="0.25"/>
    <row r="1705" hidden="1" x14ac:dyDescent="0.25"/>
    <row r="1706" hidden="1" x14ac:dyDescent="0.25"/>
    <row r="1707" hidden="1" x14ac:dyDescent="0.25"/>
    <row r="1708" hidden="1" x14ac:dyDescent="0.25"/>
    <row r="1709" hidden="1" x14ac:dyDescent="0.25"/>
    <row r="1710" hidden="1" x14ac:dyDescent="0.25"/>
    <row r="1711" hidden="1" x14ac:dyDescent="0.25"/>
    <row r="1714" hidden="1" x14ac:dyDescent="0.25"/>
    <row r="1715" hidden="1" x14ac:dyDescent="0.25"/>
    <row r="1716" hidden="1" x14ac:dyDescent="0.25"/>
    <row r="1717" hidden="1" x14ac:dyDescent="0.25"/>
    <row r="1718" hidden="1" x14ac:dyDescent="0.25"/>
    <row r="1719" hidden="1" x14ac:dyDescent="0.25"/>
    <row r="1720" hidden="1" x14ac:dyDescent="0.25"/>
    <row r="1721" hidden="1" x14ac:dyDescent="0.25"/>
    <row r="1722" hidden="1" x14ac:dyDescent="0.25"/>
    <row r="1723" hidden="1" x14ac:dyDescent="0.25"/>
    <row r="1724" hidden="1" x14ac:dyDescent="0.25"/>
    <row r="1725" hidden="1" x14ac:dyDescent="0.25"/>
    <row r="1726" hidden="1" x14ac:dyDescent="0.25"/>
    <row r="1727" hidden="1" x14ac:dyDescent="0.25"/>
    <row r="1728" hidden="1" x14ac:dyDescent="0.25"/>
    <row r="1729" hidden="1" x14ac:dyDescent="0.25"/>
    <row r="1730" hidden="1" x14ac:dyDescent="0.25"/>
    <row r="1731" hidden="1" x14ac:dyDescent="0.25"/>
    <row r="1732" hidden="1" x14ac:dyDescent="0.25"/>
  </sheetData>
  <dataConsolidate/>
  <mergeCells count="7">
    <mergeCell ref="M31:P31"/>
    <mergeCell ref="M32:P32"/>
    <mergeCell ref="L7:Q8"/>
    <mergeCell ref="L10:Q10"/>
    <mergeCell ref="L9:Q9"/>
    <mergeCell ref="M29:P29"/>
    <mergeCell ref="M30:P30"/>
  </mergeCells>
  <dataValidations count="5">
    <dataValidation type="list" allowBlank="1" showInputMessage="1" showErrorMessage="1" sqref="H8" xr:uid="{28C62BD9-24AC-4281-AAFE-93315DCEB56A}">
      <formula1>"01, 02"</formula1>
    </dataValidation>
    <dataValidation type="list" allowBlank="1" showInputMessage="1" showErrorMessage="1" sqref="H9" xr:uid="{41DBCD0C-09B2-42A7-9EAE-BC2A5A6A3466}">
      <formula1>"11, 12"</formula1>
    </dataValidation>
    <dataValidation type="custom" allowBlank="1" showInputMessage="1" showErrorMessage="1" errorTitle="Additional Consumer Data Request" error="Please use capital letters only" sqref="F51" xr:uid="{1F3AD5E6-3534-4832-B3C9-7491F06DADFB}">
      <formula1>AND(EXACT(F51,UPPER(F51)),ISTEXT(F51))</formula1>
    </dataValidation>
    <dataValidation type="custom" allowBlank="1" showInputMessage="1" showErrorMessage="1" errorTitle="Country Code" error="Please enter country code in capital letters" sqref="F38" xr:uid="{0E992138-BEBC-46C5-A12C-5926306C1C41}">
      <formula1>AND(EXACT(F38,UPPER(F38)),ISTEXT(F38))</formula1>
    </dataValidation>
    <dataValidation type="custom" allowBlank="1" showInputMessage="1" showErrorMessage="1" errorTitle="Merchant City" error="Please enter merchant city in capital letters" sqref="F40" xr:uid="{335F4BFB-A7BD-4F7F-BA09-B70549FD22AE}">
      <formula1>AND(EXACT(F40,UPPER(F40)),ISTEXT(F40))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50" r:id="rId4" name="PAYNOWQUICK_UEN">
          <controlPr defaultSize="0" autoLine="0" r:id="rId5">
            <anchor moveWithCells="1">
              <from>
                <xdr:col>13</xdr:col>
                <xdr:colOff>47625</xdr:colOff>
                <xdr:row>18</xdr:row>
                <xdr:rowOff>38100</xdr:rowOff>
              </from>
              <to>
                <xdr:col>14</xdr:col>
                <xdr:colOff>581025</xdr:colOff>
                <xdr:row>21</xdr:row>
                <xdr:rowOff>161925</xdr:rowOff>
              </to>
            </anchor>
          </controlPr>
        </control>
      </mc:Choice>
      <mc:Fallback>
        <control shapeId="14350" r:id="rId4" name="PAYNOWQUICK_UEN"/>
      </mc:Fallback>
    </mc:AlternateContent>
    <mc:AlternateContent xmlns:mc="http://schemas.openxmlformats.org/markup-compatibility/2006">
      <mc:Choice Requires="x14">
        <control shapeId="14349" r:id="rId6" name="CLEARALL">
          <controlPr defaultSize="0" autoFill="0" autoLine="0" autoPict="0" r:id="rId7">
            <anchor moveWithCells="1">
              <from>
                <xdr:col>11</xdr:col>
                <xdr:colOff>38100</xdr:colOff>
                <xdr:row>10</xdr:row>
                <xdr:rowOff>38100</xdr:rowOff>
              </from>
              <to>
                <xdr:col>17</xdr:col>
                <xdr:colOff>9525</xdr:colOff>
                <xdr:row>13</xdr:row>
                <xdr:rowOff>161925</xdr:rowOff>
              </to>
            </anchor>
          </controlPr>
        </control>
      </mc:Choice>
      <mc:Fallback>
        <control shapeId="14349" r:id="rId6" name="CLEARALL"/>
      </mc:Fallback>
    </mc:AlternateContent>
    <mc:AlternateContent xmlns:mc="http://schemas.openxmlformats.org/markup-compatibility/2006">
      <mc:Choice Requires="x14">
        <control shapeId="14348" r:id="rId8" name="SGNETSQRQUICK">
          <controlPr defaultSize="0" autoLine="0" r:id="rId9">
            <anchor moveWithCells="1">
              <from>
                <xdr:col>11</xdr:col>
                <xdr:colOff>38100</xdr:colOff>
                <xdr:row>22</xdr:row>
                <xdr:rowOff>38100</xdr:rowOff>
              </from>
              <to>
                <xdr:col>12</xdr:col>
                <xdr:colOff>571500</xdr:colOff>
                <xdr:row>25</xdr:row>
                <xdr:rowOff>161925</xdr:rowOff>
              </to>
            </anchor>
          </controlPr>
        </control>
      </mc:Choice>
      <mc:Fallback>
        <control shapeId="14348" r:id="rId8" name="SGNETSQRQUICK"/>
      </mc:Fallback>
    </mc:AlternateContent>
    <mc:AlternateContent xmlns:mc="http://schemas.openxmlformats.org/markup-compatibility/2006">
      <mc:Choice Requires="x14">
        <control shapeId="14347" r:id="rId10" name="SGQRMASTERCARDQUICK">
          <controlPr defaultSize="0" autoLine="0" r:id="rId11">
            <anchor moveWithCells="1">
              <from>
                <xdr:col>13</xdr:col>
                <xdr:colOff>47625</xdr:colOff>
                <xdr:row>14</xdr:row>
                <xdr:rowOff>28575</xdr:rowOff>
              </from>
              <to>
                <xdr:col>14</xdr:col>
                <xdr:colOff>581025</xdr:colOff>
                <xdr:row>17</xdr:row>
                <xdr:rowOff>152400</xdr:rowOff>
              </to>
            </anchor>
          </controlPr>
        </control>
      </mc:Choice>
      <mc:Fallback>
        <control shapeId="14347" r:id="rId10" name="SGQRMASTERCARDQUICK"/>
      </mc:Fallback>
    </mc:AlternateContent>
    <mc:AlternateContent xmlns:mc="http://schemas.openxmlformats.org/markup-compatibility/2006">
      <mc:Choice Requires="x14">
        <control shapeId="14346" r:id="rId12" name="SGQRVISAQUICK">
          <controlPr defaultSize="0" autoLine="0" r:id="rId13">
            <anchor moveWithCells="1">
              <from>
                <xdr:col>11</xdr:col>
                <xdr:colOff>38100</xdr:colOff>
                <xdr:row>14</xdr:row>
                <xdr:rowOff>28575</xdr:rowOff>
              </from>
              <to>
                <xdr:col>12</xdr:col>
                <xdr:colOff>571500</xdr:colOff>
                <xdr:row>17</xdr:row>
                <xdr:rowOff>152400</xdr:rowOff>
              </to>
            </anchor>
          </controlPr>
        </control>
      </mc:Choice>
      <mc:Fallback>
        <control shapeId="14346" r:id="rId12" name="SGQRVISAQUICK"/>
      </mc:Fallback>
    </mc:AlternateContent>
    <mc:AlternateContent xmlns:mc="http://schemas.openxmlformats.org/markup-compatibility/2006">
      <mc:Choice Requires="x14">
        <control shapeId="14344" r:id="rId14" name="PAYNOWQUICK_MOBILE">
          <controlPr defaultSize="0" autoLine="0" r:id="rId15">
            <anchor moveWithCells="1">
              <from>
                <xdr:col>11</xdr:col>
                <xdr:colOff>38100</xdr:colOff>
                <xdr:row>18</xdr:row>
                <xdr:rowOff>38100</xdr:rowOff>
              </from>
              <to>
                <xdr:col>12</xdr:col>
                <xdr:colOff>571500</xdr:colOff>
                <xdr:row>21</xdr:row>
                <xdr:rowOff>161925</xdr:rowOff>
              </to>
            </anchor>
          </controlPr>
        </control>
      </mc:Choice>
      <mc:Fallback>
        <control shapeId="14344" r:id="rId14" name="PAYNOWQUICK_MOBILE"/>
      </mc:Fallback>
    </mc:AlternateContent>
    <mc:AlternateContent xmlns:mc="http://schemas.openxmlformats.org/markup-compatibility/2006">
      <mc:Choice Requires="x14">
        <control shapeId="14351" r:id="rId16" name="PAYNOWQUICK_VPA">
          <controlPr defaultSize="0" autoLine="0" r:id="rId17">
            <anchor moveWithCells="1">
              <from>
                <xdr:col>15</xdr:col>
                <xdr:colOff>19050</xdr:colOff>
                <xdr:row>18</xdr:row>
                <xdr:rowOff>38100</xdr:rowOff>
              </from>
              <to>
                <xdr:col>17</xdr:col>
                <xdr:colOff>9525</xdr:colOff>
                <xdr:row>21</xdr:row>
                <xdr:rowOff>161925</xdr:rowOff>
              </to>
            </anchor>
          </controlPr>
        </control>
      </mc:Choice>
      <mc:Fallback>
        <control shapeId="14351" r:id="rId16" name="PAYNOWQUICK_VPA"/>
      </mc:Fallback>
    </mc:AlternateContent>
    <mc:AlternateContent xmlns:mc="http://schemas.openxmlformats.org/markup-compatibility/2006">
      <mc:Choice Requires="x14">
        <control shapeId="14352" r:id="rId18" name="SGNETSnPAYNOWQRQUICK">
          <controlPr defaultSize="0" autoLine="0" r:id="rId19">
            <anchor moveWithCells="1">
              <from>
                <xdr:col>13</xdr:col>
                <xdr:colOff>38100</xdr:colOff>
                <xdr:row>22</xdr:row>
                <xdr:rowOff>38100</xdr:rowOff>
              </from>
              <to>
                <xdr:col>14</xdr:col>
                <xdr:colOff>571500</xdr:colOff>
                <xdr:row>25</xdr:row>
                <xdr:rowOff>161925</xdr:rowOff>
              </to>
            </anchor>
          </controlPr>
        </control>
      </mc:Choice>
      <mc:Fallback>
        <control shapeId="14352" r:id="rId18" name="SGNETSnPAYNOWQRQUICK"/>
      </mc:Fallback>
    </mc:AlternateContent>
    <mc:AlternateContent xmlns:mc="http://schemas.openxmlformats.org/markup-compatibility/2006">
      <mc:Choice Requires="x14">
        <control shapeId="14353" r:id="rId20" name="SGQRVISAnMASTERQUICK">
          <controlPr defaultSize="0" autoLine="0" r:id="rId21">
            <anchor moveWithCells="1">
              <from>
                <xdr:col>15</xdr:col>
                <xdr:colOff>19050</xdr:colOff>
                <xdr:row>14</xdr:row>
                <xdr:rowOff>28575</xdr:rowOff>
              </from>
              <to>
                <xdr:col>17</xdr:col>
                <xdr:colOff>9525</xdr:colOff>
                <xdr:row>17</xdr:row>
                <xdr:rowOff>152400</xdr:rowOff>
              </to>
            </anchor>
          </controlPr>
        </control>
      </mc:Choice>
      <mc:Fallback>
        <control shapeId="14353" r:id="rId20" name="SGQRVISAnMASTERQUICK"/>
      </mc:Fallback>
    </mc:AlternateContent>
    <mc:AlternateContent xmlns:mc="http://schemas.openxmlformats.org/markup-compatibility/2006">
      <mc:Choice Requires="x14">
        <control shapeId="14354" r:id="rId22" name="SGQRnetsPAYNOWvisaMASTERCARD">
          <controlPr defaultSize="0" autoLine="0" r:id="rId23">
            <anchor moveWithCells="1">
              <from>
                <xdr:col>15</xdr:col>
                <xdr:colOff>19050</xdr:colOff>
                <xdr:row>22</xdr:row>
                <xdr:rowOff>38100</xdr:rowOff>
              </from>
              <to>
                <xdr:col>17</xdr:col>
                <xdr:colOff>9525</xdr:colOff>
                <xdr:row>25</xdr:row>
                <xdr:rowOff>161925</xdr:rowOff>
              </to>
            </anchor>
          </controlPr>
        </control>
      </mc:Choice>
      <mc:Fallback>
        <control shapeId="14354" r:id="rId22" name="SGQRnetsPAYNOWvisaMASTERCARD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E0FA7-0D09-4FF5-ADA9-65E832DBA2A3}">
  <sheetPr codeName="DrawSheet"/>
  <dimension ref="A1:AB36"/>
  <sheetViews>
    <sheetView showGridLines="0" workbookViewId="0">
      <selection activeCell="K35" sqref="K35:N35"/>
    </sheetView>
  </sheetViews>
  <sheetFormatPr defaultRowHeight="15" x14ac:dyDescent="0.25"/>
  <cols>
    <col min="1" max="26" width="9.140625" style="31"/>
    <col min="27" max="27" width="11.28515625" style="31" bestFit="1" customWidth="1"/>
    <col min="28" max="16384" width="9.140625" style="31"/>
  </cols>
  <sheetData>
    <row r="1" spans="1:28" ht="15" customHeight="1" x14ac:dyDescent="0.25">
      <c r="A1" s="28"/>
      <c r="B1" s="27" t="s">
        <v>656</v>
      </c>
      <c r="C1" s="29"/>
      <c r="D1" s="29"/>
      <c r="E1" s="29"/>
      <c r="F1" s="29"/>
      <c r="G1" s="29"/>
      <c r="H1" s="29"/>
      <c r="I1" s="29"/>
      <c r="J1" s="29"/>
      <c r="K1" s="29"/>
      <c r="L1" s="30"/>
    </row>
    <row r="2" spans="1:28" ht="15.75" customHeight="1" thickBot="1" x14ac:dyDescent="0.3">
      <c r="A2" s="30"/>
      <c r="B2" s="30"/>
      <c r="C2" s="29"/>
      <c r="D2" s="29"/>
      <c r="E2" s="29"/>
      <c r="F2" s="29"/>
      <c r="G2" s="29"/>
      <c r="H2" s="29"/>
      <c r="I2" s="29"/>
      <c r="J2" s="29"/>
      <c r="K2" s="30"/>
      <c r="N2" s="59" t="s">
        <v>652</v>
      </c>
    </row>
    <row r="3" spans="1:28" x14ac:dyDescent="0.25">
      <c r="A3" s="30"/>
      <c r="B3" s="129" t="str">
        <f>QRDECODE(B1)</f>
        <v/>
      </c>
      <c r="C3" s="130"/>
      <c r="D3" s="130"/>
      <c r="E3" s="130"/>
      <c r="F3" s="130"/>
      <c r="G3" s="130"/>
      <c r="H3" s="130"/>
      <c r="I3" s="130"/>
      <c r="J3" s="130"/>
      <c r="K3" s="131"/>
      <c r="N3" s="138" t="str">
        <f>QRENCODE(N2)</f>
        <v/>
      </c>
      <c r="O3" s="139"/>
      <c r="P3" s="139"/>
      <c r="Q3" s="139"/>
      <c r="R3" s="139"/>
      <c r="S3" s="139"/>
      <c r="T3" s="139"/>
      <c r="U3" s="139"/>
      <c r="V3" s="139"/>
      <c r="W3" s="140"/>
    </row>
    <row r="4" spans="1:28" x14ac:dyDescent="0.25">
      <c r="A4" s="30"/>
      <c r="B4" s="132"/>
      <c r="C4" s="133"/>
      <c r="D4" s="133"/>
      <c r="E4" s="133"/>
      <c r="F4" s="133"/>
      <c r="G4" s="133"/>
      <c r="H4" s="133"/>
      <c r="I4" s="133"/>
      <c r="J4" s="133"/>
      <c r="K4" s="134"/>
      <c r="N4" s="141"/>
      <c r="O4" s="142"/>
      <c r="P4" s="142"/>
      <c r="Q4" s="142"/>
      <c r="R4" s="142"/>
      <c r="S4" s="142"/>
      <c r="T4" s="142"/>
      <c r="U4" s="142"/>
      <c r="V4" s="142"/>
      <c r="W4" s="143"/>
    </row>
    <row r="5" spans="1:28" x14ac:dyDescent="0.25">
      <c r="A5" s="30"/>
      <c r="B5" s="132"/>
      <c r="C5" s="133"/>
      <c r="D5" s="133"/>
      <c r="E5" s="133"/>
      <c r="F5" s="133"/>
      <c r="G5" s="133"/>
      <c r="H5" s="133"/>
      <c r="I5" s="133"/>
      <c r="J5" s="133"/>
      <c r="K5" s="134"/>
      <c r="N5" s="141"/>
      <c r="O5" s="142"/>
      <c r="P5" s="142"/>
      <c r="Q5" s="142"/>
      <c r="R5" s="142"/>
      <c r="S5" s="142"/>
      <c r="T5" s="142"/>
      <c r="U5" s="142"/>
      <c r="V5" s="142"/>
      <c r="W5" s="143"/>
      <c r="Z5" s="2" t="s">
        <v>411</v>
      </c>
      <c r="AA5" s="77">
        <v>44405</v>
      </c>
      <c r="AB5" s="82" t="s">
        <v>453</v>
      </c>
    </row>
    <row r="6" spans="1:28" x14ac:dyDescent="0.25">
      <c r="A6" s="30"/>
      <c r="B6" s="132"/>
      <c r="C6" s="133"/>
      <c r="D6" s="133"/>
      <c r="E6" s="133"/>
      <c r="F6" s="133"/>
      <c r="G6" s="133"/>
      <c r="H6" s="133"/>
      <c r="I6" s="133"/>
      <c r="J6" s="133"/>
      <c r="K6" s="134"/>
      <c r="N6" s="141"/>
      <c r="O6" s="142"/>
      <c r="P6" s="142"/>
      <c r="Q6" s="142"/>
      <c r="R6" s="142"/>
      <c r="S6" s="142"/>
      <c r="T6" s="142"/>
      <c r="U6" s="142"/>
      <c r="V6" s="142"/>
      <c r="W6" s="143"/>
      <c r="Z6" s="87" t="s">
        <v>452</v>
      </c>
      <c r="AA6" s="77">
        <v>44406</v>
      </c>
      <c r="AB6" s="82" t="s">
        <v>458</v>
      </c>
    </row>
    <row r="7" spans="1:28" x14ac:dyDescent="0.25">
      <c r="A7" s="30"/>
      <c r="B7" s="132"/>
      <c r="C7" s="133"/>
      <c r="D7" s="133"/>
      <c r="E7" s="133"/>
      <c r="F7" s="133"/>
      <c r="G7" s="133"/>
      <c r="H7" s="133"/>
      <c r="I7" s="133"/>
      <c r="J7" s="133"/>
      <c r="K7" s="134"/>
      <c r="N7" s="141"/>
      <c r="O7" s="142"/>
      <c r="P7" s="142"/>
      <c r="Q7" s="142"/>
      <c r="R7" s="142"/>
      <c r="S7" s="142"/>
      <c r="T7" s="142"/>
      <c r="U7" s="142"/>
      <c r="V7" s="142"/>
      <c r="W7" s="143"/>
    </row>
    <row r="8" spans="1:28" x14ac:dyDescent="0.25">
      <c r="A8" s="30"/>
      <c r="B8" s="132"/>
      <c r="C8" s="133"/>
      <c r="D8" s="133"/>
      <c r="E8" s="133"/>
      <c r="F8" s="133"/>
      <c r="G8" s="133"/>
      <c r="H8" s="133"/>
      <c r="I8" s="133"/>
      <c r="J8" s="133"/>
      <c r="K8" s="134"/>
      <c r="N8" s="141"/>
      <c r="O8" s="142"/>
      <c r="P8" s="142"/>
      <c r="Q8" s="142"/>
      <c r="R8" s="142"/>
      <c r="S8" s="142"/>
      <c r="T8" s="142"/>
      <c r="U8" s="142"/>
      <c r="V8" s="142"/>
      <c r="W8" s="143"/>
    </row>
    <row r="9" spans="1:28" x14ac:dyDescent="0.25">
      <c r="A9" s="30"/>
      <c r="B9" s="132"/>
      <c r="C9" s="133"/>
      <c r="D9" s="133"/>
      <c r="E9" s="133"/>
      <c r="F9" s="133"/>
      <c r="G9" s="133"/>
      <c r="H9" s="133"/>
      <c r="I9" s="133"/>
      <c r="J9" s="133"/>
      <c r="K9" s="134"/>
      <c r="N9" s="141"/>
      <c r="O9" s="142"/>
      <c r="P9" s="142"/>
      <c r="Q9" s="142"/>
      <c r="R9" s="142"/>
      <c r="S9" s="142"/>
      <c r="T9" s="142"/>
      <c r="U9" s="142"/>
      <c r="V9" s="142"/>
      <c r="W9" s="143"/>
    </row>
    <row r="10" spans="1:28" x14ac:dyDescent="0.25">
      <c r="A10" s="30"/>
      <c r="B10" s="132"/>
      <c r="C10" s="133"/>
      <c r="D10" s="133"/>
      <c r="E10" s="133"/>
      <c r="F10" s="133"/>
      <c r="G10" s="133"/>
      <c r="H10" s="133"/>
      <c r="I10" s="133"/>
      <c r="J10" s="133"/>
      <c r="K10" s="134"/>
      <c r="N10" s="141"/>
      <c r="O10" s="142"/>
      <c r="P10" s="142"/>
      <c r="Q10" s="142"/>
      <c r="R10" s="142"/>
      <c r="S10" s="142"/>
      <c r="T10" s="142"/>
      <c r="U10" s="142"/>
      <c r="V10" s="142"/>
      <c r="W10" s="143"/>
    </row>
    <row r="11" spans="1:28" x14ac:dyDescent="0.25">
      <c r="A11" s="30"/>
      <c r="B11" s="132"/>
      <c r="C11" s="133"/>
      <c r="D11" s="133"/>
      <c r="E11" s="133"/>
      <c r="F11" s="133"/>
      <c r="G11" s="133"/>
      <c r="H11" s="133"/>
      <c r="I11" s="133"/>
      <c r="J11" s="133"/>
      <c r="K11" s="134"/>
      <c r="N11" s="141"/>
      <c r="O11" s="142"/>
      <c r="P11" s="142"/>
      <c r="Q11" s="142"/>
      <c r="R11" s="142"/>
      <c r="S11" s="142"/>
      <c r="T11" s="142"/>
      <c r="U11" s="142"/>
      <c r="V11" s="142"/>
      <c r="W11" s="143"/>
    </row>
    <row r="12" spans="1:28" x14ac:dyDescent="0.25">
      <c r="A12" s="30"/>
      <c r="B12" s="132"/>
      <c r="C12" s="133"/>
      <c r="D12" s="133"/>
      <c r="E12" s="133"/>
      <c r="F12" s="133"/>
      <c r="G12" s="133"/>
      <c r="H12" s="133"/>
      <c r="I12" s="133"/>
      <c r="J12" s="133"/>
      <c r="K12" s="134"/>
      <c r="N12" s="141"/>
      <c r="O12" s="142"/>
      <c r="P12" s="142"/>
      <c r="Q12" s="142"/>
      <c r="R12" s="142"/>
      <c r="S12" s="142"/>
      <c r="T12" s="142"/>
      <c r="U12" s="142"/>
      <c r="V12" s="142"/>
      <c r="W12" s="143"/>
    </row>
    <row r="13" spans="1:28" x14ac:dyDescent="0.25">
      <c r="A13" s="30"/>
      <c r="B13" s="132"/>
      <c r="C13" s="133"/>
      <c r="D13" s="133"/>
      <c r="E13" s="133"/>
      <c r="F13" s="133"/>
      <c r="G13" s="133"/>
      <c r="H13" s="133"/>
      <c r="I13" s="133"/>
      <c r="J13" s="133"/>
      <c r="K13" s="134"/>
      <c r="N13" s="141"/>
      <c r="O13" s="142"/>
      <c r="P13" s="142"/>
      <c r="Q13" s="142"/>
      <c r="R13" s="142"/>
      <c r="S13" s="142"/>
      <c r="T13" s="142"/>
      <c r="U13" s="142"/>
      <c r="V13" s="142"/>
      <c r="W13" s="143"/>
    </row>
    <row r="14" spans="1:28" x14ac:dyDescent="0.25">
      <c r="A14" s="30"/>
      <c r="B14" s="132"/>
      <c r="C14" s="133"/>
      <c r="D14" s="133"/>
      <c r="E14" s="133"/>
      <c r="F14" s="133"/>
      <c r="G14" s="133"/>
      <c r="H14" s="133"/>
      <c r="I14" s="133"/>
      <c r="J14" s="133"/>
      <c r="K14" s="134"/>
      <c r="N14" s="141"/>
      <c r="O14" s="142"/>
      <c r="P14" s="142"/>
      <c r="Q14" s="142"/>
      <c r="R14" s="142"/>
      <c r="S14" s="142"/>
      <c r="T14" s="142"/>
      <c r="U14" s="142"/>
      <c r="V14" s="142"/>
      <c r="W14" s="143"/>
    </row>
    <row r="15" spans="1:28" x14ac:dyDescent="0.25">
      <c r="A15" s="30"/>
      <c r="B15" s="132"/>
      <c r="C15" s="133"/>
      <c r="D15" s="133"/>
      <c r="E15" s="133"/>
      <c r="F15" s="133"/>
      <c r="G15" s="133"/>
      <c r="H15" s="133"/>
      <c r="I15" s="133"/>
      <c r="J15" s="133"/>
      <c r="K15" s="134"/>
      <c r="N15" s="141"/>
      <c r="O15" s="142"/>
      <c r="P15" s="142"/>
      <c r="Q15" s="142"/>
      <c r="R15" s="142"/>
      <c r="S15" s="142"/>
      <c r="T15" s="142"/>
      <c r="U15" s="142"/>
      <c r="V15" s="142"/>
      <c r="W15" s="143"/>
    </row>
    <row r="16" spans="1:28" x14ac:dyDescent="0.25">
      <c r="A16" s="30"/>
      <c r="B16" s="132"/>
      <c r="C16" s="133"/>
      <c r="D16" s="133"/>
      <c r="E16" s="133"/>
      <c r="F16" s="133"/>
      <c r="G16" s="133"/>
      <c r="H16" s="133"/>
      <c r="I16" s="133"/>
      <c r="J16" s="133"/>
      <c r="K16" s="134"/>
      <c r="N16" s="141"/>
      <c r="O16" s="142"/>
      <c r="P16" s="142"/>
      <c r="Q16" s="142"/>
      <c r="R16" s="142"/>
      <c r="S16" s="142"/>
      <c r="T16" s="142"/>
      <c r="U16" s="142"/>
      <c r="V16" s="142"/>
      <c r="W16" s="143"/>
    </row>
    <row r="17" spans="1:23" x14ac:dyDescent="0.25">
      <c r="A17" s="30"/>
      <c r="B17" s="132"/>
      <c r="C17" s="133"/>
      <c r="D17" s="133"/>
      <c r="E17" s="133"/>
      <c r="F17" s="133"/>
      <c r="G17" s="133"/>
      <c r="H17" s="133"/>
      <c r="I17" s="133"/>
      <c r="J17" s="133"/>
      <c r="K17" s="134"/>
      <c r="N17" s="141"/>
      <c r="O17" s="142"/>
      <c r="P17" s="142"/>
      <c r="Q17" s="142"/>
      <c r="R17" s="142"/>
      <c r="S17" s="142"/>
      <c r="T17" s="142"/>
      <c r="U17" s="142"/>
      <c r="V17" s="142"/>
      <c r="W17" s="143"/>
    </row>
    <row r="18" spans="1:23" x14ac:dyDescent="0.25">
      <c r="A18" s="30"/>
      <c r="B18" s="132"/>
      <c r="C18" s="133"/>
      <c r="D18" s="133"/>
      <c r="E18" s="133"/>
      <c r="F18" s="133"/>
      <c r="G18" s="133"/>
      <c r="H18" s="133"/>
      <c r="I18" s="133"/>
      <c r="J18" s="133"/>
      <c r="K18" s="134"/>
      <c r="N18" s="141"/>
      <c r="O18" s="142"/>
      <c r="P18" s="142"/>
      <c r="Q18" s="142"/>
      <c r="R18" s="142"/>
      <c r="S18" s="142"/>
      <c r="T18" s="142"/>
      <c r="U18" s="142"/>
      <c r="V18" s="142"/>
      <c r="W18" s="143"/>
    </row>
    <row r="19" spans="1:23" x14ac:dyDescent="0.25">
      <c r="A19" s="30"/>
      <c r="B19" s="132"/>
      <c r="C19" s="133"/>
      <c r="D19" s="133"/>
      <c r="E19" s="133"/>
      <c r="F19" s="133"/>
      <c r="G19" s="133"/>
      <c r="H19" s="133"/>
      <c r="I19" s="133"/>
      <c r="J19" s="133"/>
      <c r="K19" s="134"/>
      <c r="N19" s="141"/>
      <c r="O19" s="142"/>
      <c r="P19" s="142"/>
      <c r="Q19" s="142"/>
      <c r="R19" s="142"/>
      <c r="S19" s="142"/>
      <c r="T19" s="142"/>
      <c r="U19" s="142"/>
      <c r="V19" s="142"/>
      <c r="W19" s="143"/>
    </row>
    <row r="20" spans="1:23" x14ac:dyDescent="0.25">
      <c r="A20" s="30"/>
      <c r="B20" s="132"/>
      <c r="C20" s="133"/>
      <c r="D20" s="133"/>
      <c r="E20" s="133"/>
      <c r="F20" s="133"/>
      <c r="G20" s="133"/>
      <c r="H20" s="133"/>
      <c r="I20" s="133"/>
      <c r="J20" s="133"/>
      <c r="K20" s="134"/>
      <c r="N20" s="141"/>
      <c r="O20" s="142"/>
      <c r="P20" s="142"/>
      <c r="Q20" s="142"/>
      <c r="R20" s="142"/>
      <c r="S20" s="142"/>
      <c r="T20" s="142"/>
      <c r="U20" s="142"/>
      <c r="V20" s="142"/>
      <c r="W20" s="143"/>
    </row>
    <row r="21" spans="1:23" x14ac:dyDescent="0.25">
      <c r="A21" s="30"/>
      <c r="B21" s="132"/>
      <c r="C21" s="133"/>
      <c r="D21" s="133"/>
      <c r="E21" s="133"/>
      <c r="F21" s="133"/>
      <c r="G21" s="133"/>
      <c r="H21" s="133"/>
      <c r="I21" s="133"/>
      <c r="J21" s="133"/>
      <c r="K21" s="134"/>
      <c r="N21" s="141"/>
      <c r="O21" s="142"/>
      <c r="P21" s="142"/>
      <c r="Q21" s="142"/>
      <c r="R21" s="142"/>
      <c r="S21" s="142"/>
      <c r="T21" s="142"/>
      <c r="U21" s="142"/>
      <c r="V21" s="142"/>
      <c r="W21" s="143"/>
    </row>
    <row r="22" spans="1:23" x14ac:dyDescent="0.25">
      <c r="A22" s="30"/>
      <c r="B22" s="132"/>
      <c r="C22" s="133"/>
      <c r="D22" s="133"/>
      <c r="E22" s="133"/>
      <c r="F22" s="133"/>
      <c r="G22" s="133"/>
      <c r="H22" s="133"/>
      <c r="I22" s="133"/>
      <c r="J22" s="133"/>
      <c r="K22" s="134"/>
      <c r="N22" s="141"/>
      <c r="O22" s="142"/>
      <c r="P22" s="142"/>
      <c r="Q22" s="142"/>
      <c r="R22" s="142"/>
      <c r="S22" s="142"/>
      <c r="T22" s="142"/>
      <c r="U22" s="142"/>
      <c r="V22" s="142"/>
      <c r="W22" s="143"/>
    </row>
    <row r="23" spans="1:23" x14ac:dyDescent="0.25">
      <c r="A23" s="30"/>
      <c r="B23" s="132"/>
      <c r="C23" s="133"/>
      <c r="D23" s="133"/>
      <c r="E23" s="133"/>
      <c r="F23" s="133"/>
      <c r="G23" s="133"/>
      <c r="H23" s="133"/>
      <c r="I23" s="133"/>
      <c r="J23" s="133"/>
      <c r="K23" s="134"/>
      <c r="N23" s="141"/>
      <c r="O23" s="142"/>
      <c r="P23" s="142"/>
      <c r="Q23" s="142"/>
      <c r="R23" s="142"/>
      <c r="S23" s="142"/>
      <c r="T23" s="142"/>
      <c r="U23" s="142"/>
      <c r="V23" s="142"/>
      <c r="W23" s="143"/>
    </row>
    <row r="24" spans="1:23" x14ac:dyDescent="0.25">
      <c r="A24" s="30"/>
      <c r="B24" s="132"/>
      <c r="C24" s="133"/>
      <c r="D24" s="133"/>
      <c r="E24" s="133"/>
      <c r="F24" s="133"/>
      <c r="G24" s="133"/>
      <c r="H24" s="133"/>
      <c r="I24" s="133"/>
      <c r="J24" s="133"/>
      <c r="K24" s="134"/>
      <c r="N24" s="141"/>
      <c r="O24" s="142"/>
      <c r="P24" s="142"/>
      <c r="Q24" s="142"/>
      <c r="R24" s="142"/>
      <c r="S24" s="142"/>
      <c r="T24" s="142"/>
      <c r="U24" s="142"/>
      <c r="V24" s="142"/>
      <c r="W24" s="143"/>
    </row>
    <row r="25" spans="1:23" x14ac:dyDescent="0.25">
      <c r="A25" s="30"/>
      <c r="B25" s="132"/>
      <c r="C25" s="133"/>
      <c r="D25" s="133"/>
      <c r="E25" s="133"/>
      <c r="F25" s="133"/>
      <c r="G25" s="133"/>
      <c r="H25" s="133"/>
      <c r="I25" s="133"/>
      <c r="J25" s="133"/>
      <c r="K25" s="134"/>
      <c r="N25" s="141"/>
      <c r="O25" s="142"/>
      <c r="P25" s="142"/>
      <c r="Q25" s="142"/>
      <c r="R25" s="142"/>
      <c r="S25" s="142"/>
      <c r="T25" s="142"/>
      <c r="U25" s="142"/>
      <c r="V25" s="142"/>
      <c r="W25" s="143"/>
    </row>
    <row r="26" spans="1:23" x14ac:dyDescent="0.25">
      <c r="A26" s="30"/>
      <c r="B26" s="132"/>
      <c r="C26" s="133"/>
      <c r="D26" s="133"/>
      <c r="E26" s="133"/>
      <c r="F26" s="133"/>
      <c r="G26" s="133"/>
      <c r="H26" s="133"/>
      <c r="I26" s="133"/>
      <c r="J26" s="133"/>
      <c r="K26" s="134"/>
      <c r="N26" s="141"/>
      <c r="O26" s="142"/>
      <c r="P26" s="142"/>
      <c r="Q26" s="142"/>
      <c r="R26" s="142"/>
      <c r="S26" s="142"/>
      <c r="T26" s="142"/>
      <c r="U26" s="142"/>
      <c r="V26" s="142"/>
      <c r="W26" s="143"/>
    </row>
    <row r="27" spans="1:23" x14ac:dyDescent="0.25">
      <c r="A27" s="30"/>
      <c r="B27" s="132"/>
      <c r="C27" s="133"/>
      <c r="D27" s="133"/>
      <c r="E27" s="133"/>
      <c r="F27" s="133"/>
      <c r="G27" s="133"/>
      <c r="H27" s="133"/>
      <c r="I27" s="133"/>
      <c r="J27" s="133"/>
      <c r="K27" s="134"/>
      <c r="N27" s="141"/>
      <c r="O27" s="142"/>
      <c r="P27" s="142"/>
      <c r="Q27" s="142"/>
      <c r="R27" s="142"/>
      <c r="S27" s="142"/>
      <c r="T27" s="142"/>
      <c r="U27" s="142"/>
      <c r="V27" s="142"/>
      <c r="W27" s="143"/>
    </row>
    <row r="28" spans="1:23" x14ac:dyDescent="0.25">
      <c r="A28" s="30"/>
      <c r="B28" s="132"/>
      <c r="C28" s="133"/>
      <c r="D28" s="133"/>
      <c r="E28" s="133"/>
      <c r="F28" s="133"/>
      <c r="G28" s="133"/>
      <c r="H28" s="133"/>
      <c r="I28" s="133"/>
      <c r="J28" s="133"/>
      <c r="K28" s="134"/>
      <c r="N28" s="141"/>
      <c r="O28" s="142"/>
      <c r="P28" s="142"/>
      <c r="Q28" s="142"/>
      <c r="R28" s="142"/>
      <c r="S28" s="142"/>
      <c r="T28" s="142"/>
      <c r="U28" s="142"/>
      <c r="V28" s="142"/>
      <c r="W28" s="143"/>
    </row>
    <row r="29" spans="1:23" x14ac:dyDescent="0.25">
      <c r="A29" s="30"/>
      <c r="B29" s="132"/>
      <c r="C29" s="133"/>
      <c r="D29" s="133"/>
      <c r="E29" s="133"/>
      <c r="F29" s="133"/>
      <c r="G29" s="133"/>
      <c r="H29" s="133"/>
      <c r="I29" s="133"/>
      <c r="J29" s="133"/>
      <c r="K29" s="134"/>
      <c r="N29" s="141"/>
      <c r="O29" s="142"/>
      <c r="P29" s="142"/>
      <c r="Q29" s="142"/>
      <c r="R29" s="142"/>
      <c r="S29" s="142"/>
      <c r="T29" s="142"/>
      <c r="U29" s="142"/>
      <c r="V29" s="142"/>
      <c r="W29" s="143"/>
    </row>
    <row r="30" spans="1:23" x14ac:dyDescent="0.25">
      <c r="A30" s="30"/>
      <c r="B30" s="132"/>
      <c r="C30" s="133"/>
      <c r="D30" s="133"/>
      <c r="E30" s="133"/>
      <c r="F30" s="133"/>
      <c r="G30" s="133"/>
      <c r="H30" s="133"/>
      <c r="I30" s="133"/>
      <c r="J30" s="133"/>
      <c r="K30" s="134"/>
      <c r="N30" s="141"/>
      <c r="O30" s="142"/>
      <c r="P30" s="142"/>
      <c r="Q30" s="142"/>
      <c r="R30" s="142"/>
      <c r="S30" s="142"/>
      <c r="T30" s="142"/>
      <c r="U30" s="142"/>
      <c r="V30" s="142"/>
      <c r="W30" s="143"/>
    </row>
    <row r="31" spans="1:23" x14ac:dyDescent="0.25">
      <c r="A31" s="30"/>
      <c r="B31" s="132"/>
      <c r="C31" s="133"/>
      <c r="D31" s="133"/>
      <c r="E31" s="133"/>
      <c r="F31" s="133"/>
      <c r="G31" s="133"/>
      <c r="H31" s="133"/>
      <c r="I31" s="133"/>
      <c r="J31" s="133"/>
      <c r="K31" s="134"/>
      <c r="N31" s="141"/>
      <c r="O31" s="142"/>
      <c r="P31" s="142"/>
      <c r="Q31" s="142"/>
      <c r="R31" s="142"/>
      <c r="S31" s="142"/>
      <c r="T31" s="142"/>
      <c r="U31" s="142"/>
      <c r="V31" s="142"/>
      <c r="W31" s="143"/>
    </row>
    <row r="32" spans="1:23" ht="15.75" thickBot="1" x14ac:dyDescent="0.3">
      <c r="A32" s="30"/>
      <c r="B32" s="135"/>
      <c r="C32" s="136"/>
      <c r="D32" s="136"/>
      <c r="E32" s="136"/>
      <c r="F32" s="136"/>
      <c r="G32" s="136"/>
      <c r="H32" s="136"/>
      <c r="I32" s="136"/>
      <c r="J32" s="136"/>
      <c r="K32" s="137"/>
      <c r="N32" s="144"/>
      <c r="O32" s="145"/>
      <c r="P32" s="145"/>
      <c r="Q32" s="145"/>
      <c r="R32" s="145"/>
      <c r="S32" s="145"/>
      <c r="T32" s="145"/>
      <c r="U32" s="145"/>
      <c r="V32" s="145"/>
      <c r="W32" s="146"/>
    </row>
    <row r="33" spans="1:15" x14ac:dyDescent="0.25">
      <c r="A33" s="30"/>
      <c r="C33" s="30"/>
      <c r="D33" s="30"/>
      <c r="E33" s="30"/>
      <c r="F33" s="30"/>
      <c r="G33" s="30"/>
      <c r="H33" s="30"/>
      <c r="I33" s="30"/>
      <c r="J33" s="30"/>
      <c r="K33" s="30"/>
    </row>
    <row r="34" spans="1:15" ht="15.75" thickBot="1" x14ac:dyDescent="0.3">
      <c r="A34" s="30"/>
      <c r="C34" s="30"/>
      <c r="D34" s="30"/>
      <c r="E34" s="30"/>
      <c r="F34" s="30"/>
      <c r="G34" s="30"/>
      <c r="H34" s="30"/>
      <c r="I34" s="30"/>
      <c r="J34" s="30"/>
      <c r="K34" s="30"/>
    </row>
    <row r="35" spans="1:15" x14ac:dyDescent="0.25">
      <c r="J35" s="84"/>
      <c r="K35" s="147" t="s">
        <v>436</v>
      </c>
      <c r="L35" s="147"/>
      <c r="M35" s="147"/>
      <c r="N35" s="147"/>
      <c r="O35" s="85"/>
    </row>
    <row r="36" spans="1:15" ht="15.75" thickBot="1" x14ac:dyDescent="0.3">
      <c r="J36" s="148" t="s">
        <v>437</v>
      </c>
      <c r="K36" s="149"/>
      <c r="L36" s="149"/>
      <c r="M36" s="149"/>
      <c r="N36" s="149"/>
      <c r="O36" s="150"/>
    </row>
  </sheetData>
  <mergeCells count="4">
    <mergeCell ref="B3:K32"/>
    <mergeCell ref="N3:W32"/>
    <mergeCell ref="K35:N35"/>
    <mergeCell ref="J36:O36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0" r:id="rId4" name="DECODEQRGENERATE">
          <controlPr defaultSize="0" autoLine="0" autoPict="0" r:id="rId5">
            <anchor moveWithCells="1">
              <from>
                <xdr:col>4</xdr:col>
                <xdr:colOff>514350</xdr:colOff>
                <xdr:row>32</xdr:row>
                <xdr:rowOff>95250</xdr:rowOff>
              </from>
              <to>
                <xdr:col>7</xdr:col>
                <xdr:colOff>371475</xdr:colOff>
                <xdr:row>36</xdr:row>
                <xdr:rowOff>171450</xdr:rowOff>
              </to>
            </anchor>
          </controlPr>
        </control>
      </mc:Choice>
      <mc:Fallback>
        <control shapeId="12290" r:id="rId4" name="DECODEQRGENERATE"/>
      </mc:Fallback>
    </mc:AlternateContent>
    <mc:AlternateContent xmlns:mc="http://schemas.openxmlformats.org/markup-compatibility/2006">
      <mc:Choice Requires="x14">
        <control shapeId="12291" r:id="rId6" name="ENCODEQRGENERATE">
          <controlPr defaultSize="0" autoLine="0" autoPict="0" r:id="rId7">
            <anchor moveWithCells="1">
              <from>
                <xdr:col>16</xdr:col>
                <xdr:colOff>390525</xdr:colOff>
                <xdr:row>32</xdr:row>
                <xdr:rowOff>104775</xdr:rowOff>
              </from>
              <to>
                <xdr:col>19</xdr:col>
                <xdr:colOff>257175</xdr:colOff>
                <xdr:row>36</xdr:row>
                <xdr:rowOff>133350</xdr:rowOff>
              </to>
            </anchor>
          </controlPr>
        </control>
      </mc:Choice>
      <mc:Fallback>
        <control shapeId="12291" r:id="rId6" name="ENCODEQR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752E4-4B21-46C5-9D9D-EB23DD13B400}">
  <sheetPr codeName="Sheet2"/>
  <dimension ref="A1:T62"/>
  <sheetViews>
    <sheetView topLeftCell="A13" workbookViewId="0">
      <selection activeCell="I58" sqref="I58"/>
    </sheetView>
  </sheetViews>
  <sheetFormatPr defaultRowHeight="15" x14ac:dyDescent="0.25"/>
  <cols>
    <col min="1" max="1" width="9.140625" style="58"/>
    <col min="2" max="2" width="19.7109375" style="58" bestFit="1" customWidth="1"/>
    <col min="3" max="3" width="9.140625" style="9"/>
    <col min="4" max="4" width="13.28515625" style="9" bestFit="1" customWidth="1"/>
    <col min="5" max="5" width="10.85546875" style="58" bestFit="1" customWidth="1"/>
    <col min="6" max="7" width="9.140625" style="58"/>
    <col min="8" max="8" width="11.5703125" style="58" bestFit="1" customWidth="1"/>
    <col min="9" max="10" width="9.140625" style="58"/>
    <col min="11" max="11" width="31.42578125" style="58" bestFit="1" customWidth="1"/>
    <col min="12" max="14" width="9.140625" style="58"/>
    <col min="15" max="15" width="17" style="58" bestFit="1" customWidth="1"/>
    <col min="16" max="16" width="22" style="58" bestFit="1" customWidth="1"/>
    <col min="17" max="17" width="29.28515625" style="58" bestFit="1" customWidth="1"/>
    <col min="18" max="18" width="39" style="58" bestFit="1" customWidth="1"/>
    <col min="19" max="16384" width="9.140625" style="58"/>
  </cols>
  <sheetData>
    <row r="1" spans="1:4" x14ac:dyDescent="0.25">
      <c r="B1" s="88" t="s">
        <v>442</v>
      </c>
    </row>
    <row r="3" spans="1:4" ht="30" x14ac:dyDescent="0.25">
      <c r="A3" s="89" t="s">
        <v>439</v>
      </c>
      <c r="B3" s="90" t="s">
        <v>441</v>
      </c>
      <c r="C3" s="9" t="s">
        <v>438</v>
      </c>
    </row>
    <row r="4" spans="1:4" x14ac:dyDescent="0.25">
      <c r="C4" s="5">
        <v>33</v>
      </c>
      <c r="D4" s="9" t="s">
        <v>417</v>
      </c>
    </row>
    <row r="5" spans="1:4" ht="30" x14ac:dyDescent="0.25">
      <c r="A5" s="91" t="s">
        <v>447</v>
      </c>
      <c r="B5" s="90" t="s">
        <v>441</v>
      </c>
      <c r="C5" s="9" t="s">
        <v>440</v>
      </c>
    </row>
    <row r="6" spans="1:4" x14ac:dyDescent="0.25">
      <c r="B6" s="92" t="s">
        <v>450</v>
      </c>
      <c r="C6" s="93" t="s">
        <v>423</v>
      </c>
      <c r="D6" s="94" t="s">
        <v>449</v>
      </c>
    </row>
    <row r="7" spans="1:4" ht="30" x14ac:dyDescent="0.25">
      <c r="A7" s="95" t="s">
        <v>444</v>
      </c>
      <c r="B7" s="90" t="s">
        <v>441</v>
      </c>
      <c r="C7" s="9" t="s">
        <v>443</v>
      </c>
    </row>
    <row r="8" spans="1:4" x14ac:dyDescent="0.25">
      <c r="C8" s="5">
        <v>26</v>
      </c>
      <c r="D8" s="9" t="s">
        <v>371</v>
      </c>
    </row>
    <row r="9" spans="1:4" ht="30" x14ac:dyDescent="0.25">
      <c r="A9" s="95" t="s">
        <v>446</v>
      </c>
      <c r="B9" s="90" t="s">
        <v>441</v>
      </c>
      <c r="C9" s="9" t="s">
        <v>445</v>
      </c>
    </row>
    <row r="10" spans="1:4" x14ac:dyDescent="0.25">
      <c r="C10" s="5">
        <v>26</v>
      </c>
      <c r="D10" s="9" t="s">
        <v>371</v>
      </c>
    </row>
    <row r="12" spans="1:4" ht="30" x14ac:dyDescent="0.25">
      <c r="A12" s="99" t="s">
        <v>439</v>
      </c>
      <c r="B12" s="98" t="s">
        <v>574</v>
      </c>
      <c r="C12" s="9" t="s">
        <v>573</v>
      </c>
    </row>
    <row r="13" spans="1:4" x14ac:dyDescent="0.25">
      <c r="A13" s="107"/>
      <c r="B13" s="98"/>
    </row>
    <row r="15" spans="1:4" ht="30" x14ac:dyDescent="0.25">
      <c r="A15" s="95" t="s">
        <v>575</v>
      </c>
      <c r="B15" s="90" t="s">
        <v>441</v>
      </c>
      <c r="C15" s="9" t="s">
        <v>576</v>
      </c>
    </row>
    <row r="16" spans="1:4" x14ac:dyDescent="0.25">
      <c r="A16" s="98"/>
      <c r="C16" s="9" t="s">
        <v>577</v>
      </c>
      <c r="D16" s="9" t="s">
        <v>460</v>
      </c>
    </row>
    <row r="17" spans="1:18" x14ac:dyDescent="0.25">
      <c r="A17" s="98"/>
    </row>
    <row r="18" spans="1:18" x14ac:dyDescent="0.25">
      <c r="B18" s="58" t="s">
        <v>467</v>
      </c>
      <c r="E18" s="58" t="s">
        <v>475</v>
      </c>
      <c r="K18" s="58" t="s">
        <v>579</v>
      </c>
      <c r="O18" s="58" t="s">
        <v>439</v>
      </c>
    </row>
    <row r="19" spans="1:18" x14ac:dyDescent="0.25">
      <c r="E19" s="58">
        <v>26</v>
      </c>
      <c r="F19" s="58" t="s">
        <v>491</v>
      </c>
      <c r="K19" s="96" t="s">
        <v>578</v>
      </c>
      <c r="O19" s="58" t="s">
        <v>526</v>
      </c>
      <c r="P19" s="58" t="s">
        <v>527</v>
      </c>
    </row>
    <row r="20" spans="1:18" x14ac:dyDescent="0.25">
      <c r="A20" s="58">
        <v>2</v>
      </c>
      <c r="B20" s="58" t="s">
        <v>468</v>
      </c>
      <c r="C20" s="9" t="s">
        <v>469</v>
      </c>
      <c r="E20" s="58" t="s">
        <v>492</v>
      </c>
      <c r="F20" s="58" t="s">
        <v>490</v>
      </c>
      <c r="K20" s="58" t="s">
        <v>553</v>
      </c>
      <c r="L20" s="58" t="s">
        <v>523</v>
      </c>
      <c r="O20" s="58" t="s">
        <v>529</v>
      </c>
      <c r="P20" s="58" t="s">
        <v>528</v>
      </c>
    </row>
    <row r="21" spans="1:18" x14ac:dyDescent="0.25">
      <c r="A21" s="58">
        <v>3</v>
      </c>
      <c r="B21" s="58" t="s">
        <v>470</v>
      </c>
      <c r="C21" s="9" t="s">
        <v>469</v>
      </c>
      <c r="E21" s="58" t="s">
        <v>493</v>
      </c>
      <c r="F21" s="58" t="s">
        <v>494</v>
      </c>
      <c r="K21" s="58" t="s">
        <v>554</v>
      </c>
      <c r="L21" s="58" t="s">
        <v>524</v>
      </c>
      <c r="O21" s="58" t="s">
        <v>530</v>
      </c>
      <c r="P21" s="58" t="s">
        <v>531</v>
      </c>
      <c r="Q21" s="58" t="s">
        <v>532</v>
      </c>
      <c r="R21" s="58" t="s">
        <v>533</v>
      </c>
    </row>
    <row r="22" spans="1:18" x14ac:dyDescent="0.25">
      <c r="A22" s="58">
        <v>4</v>
      </c>
      <c r="B22" s="58" t="s">
        <v>472</v>
      </c>
      <c r="E22" s="58" t="s">
        <v>476</v>
      </c>
      <c r="F22" s="58" t="s">
        <v>477</v>
      </c>
      <c r="K22" s="58" t="s">
        <v>552</v>
      </c>
      <c r="L22" s="58" t="s">
        <v>525</v>
      </c>
      <c r="O22" s="58" t="s">
        <v>534</v>
      </c>
      <c r="P22" s="58" t="s">
        <v>535</v>
      </c>
      <c r="Q22" s="58" t="s">
        <v>537</v>
      </c>
      <c r="R22" s="58" t="s">
        <v>536</v>
      </c>
    </row>
    <row r="23" spans="1:18" x14ac:dyDescent="0.25">
      <c r="A23" s="58">
        <v>5</v>
      </c>
      <c r="B23" s="58" t="s">
        <v>471</v>
      </c>
      <c r="E23" s="58" t="s">
        <v>478</v>
      </c>
      <c r="F23" s="58" t="s">
        <v>479</v>
      </c>
      <c r="O23" s="58" t="s">
        <v>538</v>
      </c>
      <c r="P23" s="58" t="s">
        <v>539</v>
      </c>
    </row>
    <row r="24" spans="1:18" x14ac:dyDescent="0.25">
      <c r="A24" s="58">
        <v>6</v>
      </c>
      <c r="B24" s="58" t="s">
        <v>473</v>
      </c>
      <c r="E24" s="58" t="s">
        <v>495</v>
      </c>
      <c r="F24" s="58" t="s">
        <v>496</v>
      </c>
      <c r="O24" s="58" t="s">
        <v>540</v>
      </c>
      <c r="P24" s="58" t="s">
        <v>541</v>
      </c>
    </row>
    <row r="25" spans="1:18" x14ac:dyDescent="0.25">
      <c r="A25" s="58">
        <v>7</v>
      </c>
      <c r="B25" s="58" t="s">
        <v>474</v>
      </c>
      <c r="E25" s="58" t="s">
        <v>497</v>
      </c>
      <c r="F25" s="58" t="s">
        <v>459</v>
      </c>
      <c r="O25" s="58" t="s">
        <v>542</v>
      </c>
      <c r="P25" s="58" t="s">
        <v>543</v>
      </c>
    </row>
    <row r="26" spans="1:18" x14ac:dyDescent="0.25">
      <c r="A26" s="58">
        <v>8</v>
      </c>
      <c r="B26" s="58" t="s">
        <v>480</v>
      </c>
      <c r="E26" s="58" t="s">
        <v>498</v>
      </c>
      <c r="F26" s="58" t="s">
        <v>499</v>
      </c>
      <c r="O26" s="58" t="s">
        <v>544</v>
      </c>
      <c r="P26" s="58" t="s">
        <v>547</v>
      </c>
      <c r="Q26" s="58" t="s">
        <v>548</v>
      </c>
    </row>
    <row r="27" spans="1:18" x14ac:dyDescent="0.25">
      <c r="A27" s="58">
        <v>9</v>
      </c>
      <c r="B27" s="58" t="s">
        <v>481</v>
      </c>
      <c r="E27" s="58" t="s">
        <v>500</v>
      </c>
      <c r="F27" s="58" t="s">
        <v>501</v>
      </c>
      <c r="O27" s="58" t="s">
        <v>545</v>
      </c>
      <c r="P27" s="58" t="s">
        <v>546</v>
      </c>
      <c r="Q27" s="58" t="s">
        <v>549</v>
      </c>
      <c r="R27" s="58" t="s">
        <v>550</v>
      </c>
    </row>
    <row r="28" spans="1:18" x14ac:dyDescent="0.25">
      <c r="A28" s="58">
        <v>10</v>
      </c>
      <c r="B28" s="58" t="s">
        <v>482</v>
      </c>
      <c r="E28" s="58" t="s">
        <v>502</v>
      </c>
      <c r="F28" s="58" t="s">
        <v>503</v>
      </c>
    </row>
    <row r="29" spans="1:18" x14ac:dyDescent="0.25">
      <c r="A29" s="58">
        <v>11</v>
      </c>
      <c r="B29" s="58" t="s">
        <v>483</v>
      </c>
      <c r="E29" s="58" t="s">
        <v>505</v>
      </c>
      <c r="F29" s="58" t="s">
        <v>504</v>
      </c>
      <c r="K29" s="58" t="s">
        <v>643</v>
      </c>
    </row>
    <row r="30" spans="1:18" x14ac:dyDescent="0.25">
      <c r="A30" s="58">
        <v>12</v>
      </c>
      <c r="B30" s="58" t="s">
        <v>484</v>
      </c>
      <c r="E30" s="58" t="s">
        <v>506</v>
      </c>
      <c r="F30" s="58" t="s">
        <v>507</v>
      </c>
      <c r="K30" s="58" t="s">
        <v>644</v>
      </c>
      <c r="O30" s="58" t="s">
        <v>551</v>
      </c>
      <c r="P30" s="58" t="s">
        <v>565</v>
      </c>
      <c r="Q30" s="58" t="s">
        <v>566</v>
      </c>
    </row>
    <row r="31" spans="1:18" x14ac:dyDescent="0.25">
      <c r="A31" s="58">
        <v>13</v>
      </c>
      <c r="B31" s="58" t="s">
        <v>485</v>
      </c>
      <c r="E31" s="58" t="s">
        <v>508</v>
      </c>
      <c r="F31" s="58" t="s">
        <v>509</v>
      </c>
      <c r="O31" s="58" t="s">
        <v>555</v>
      </c>
      <c r="P31" s="58" t="s">
        <v>423</v>
      </c>
    </row>
    <row r="32" spans="1:18" x14ac:dyDescent="0.25">
      <c r="A32" s="58">
        <v>14</v>
      </c>
      <c r="B32" s="58" t="s">
        <v>486</v>
      </c>
      <c r="E32" s="58" t="s">
        <v>510</v>
      </c>
      <c r="F32" s="58" t="s">
        <v>511</v>
      </c>
      <c r="O32" s="58" t="s">
        <v>556</v>
      </c>
      <c r="P32" s="58" t="s">
        <v>423</v>
      </c>
    </row>
    <row r="33" spans="1:20" x14ac:dyDescent="0.25">
      <c r="A33" s="58">
        <v>15</v>
      </c>
      <c r="B33" s="58" t="s">
        <v>487</v>
      </c>
      <c r="E33" s="58" t="s">
        <v>512</v>
      </c>
      <c r="F33" s="58" t="s">
        <v>513</v>
      </c>
      <c r="O33" s="58" t="s">
        <v>557</v>
      </c>
    </row>
    <row r="34" spans="1:20" x14ac:dyDescent="0.25">
      <c r="A34" s="58">
        <v>16</v>
      </c>
      <c r="B34" s="58" t="s">
        <v>488</v>
      </c>
      <c r="E34" s="58" t="s">
        <v>514</v>
      </c>
      <c r="F34" s="58" t="s">
        <v>515</v>
      </c>
      <c r="O34" s="58" t="s">
        <v>522</v>
      </c>
      <c r="P34" s="58" t="s">
        <v>558</v>
      </c>
      <c r="Q34" s="58" t="s">
        <v>563</v>
      </c>
    </row>
    <row r="35" spans="1:20" x14ac:dyDescent="0.25">
      <c r="A35" s="58">
        <v>17</v>
      </c>
      <c r="B35" s="58" t="s">
        <v>489</v>
      </c>
      <c r="E35" s="58" t="s">
        <v>516</v>
      </c>
      <c r="F35" s="58" t="s">
        <v>517</v>
      </c>
      <c r="O35" s="58" t="s">
        <v>552</v>
      </c>
      <c r="P35" s="58" t="s">
        <v>559</v>
      </c>
      <c r="Q35" s="58" t="s">
        <v>564</v>
      </c>
      <c r="R35" s="58" t="s">
        <v>560</v>
      </c>
      <c r="S35" s="58" t="s">
        <v>561</v>
      </c>
      <c r="T35" s="58" t="s">
        <v>562</v>
      </c>
    </row>
    <row r="36" spans="1:20" x14ac:dyDescent="0.25">
      <c r="E36" s="58" t="s">
        <v>518</v>
      </c>
      <c r="F36" s="58" t="s">
        <v>519</v>
      </c>
      <c r="O36" s="58" t="s">
        <v>658</v>
      </c>
      <c r="P36" s="58" t="s">
        <v>567</v>
      </c>
    </row>
    <row r="37" spans="1:20" x14ac:dyDescent="0.25">
      <c r="E37" s="58" t="s">
        <v>520</v>
      </c>
      <c r="F37" s="58" t="s">
        <v>521</v>
      </c>
      <c r="O37" s="58" t="s">
        <v>659</v>
      </c>
      <c r="P37" s="58" t="s">
        <v>660</v>
      </c>
    </row>
    <row r="38" spans="1:20" x14ac:dyDescent="0.25">
      <c r="O38" s="58" t="s">
        <v>661</v>
      </c>
      <c r="P38" s="58" t="s">
        <v>662</v>
      </c>
    </row>
    <row r="39" spans="1:20" x14ac:dyDescent="0.25">
      <c r="O39" s="58" t="s">
        <v>553</v>
      </c>
      <c r="P39" s="58" t="s">
        <v>568</v>
      </c>
    </row>
    <row r="40" spans="1:20" x14ac:dyDescent="0.25">
      <c r="K40" s="108" t="s">
        <v>616</v>
      </c>
      <c r="O40" s="58" t="s">
        <v>663</v>
      </c>
      <c r="P40" s="58" t="s">
        <v>569</v>
      </c>
    </row>
    <row r="41" spans="1:20" x14ac:dyDescent="0.25">
      <c r="H41" s="58" t="s">
        <v>634</v>
      </c>
      <c r="I41" s="58" t="s">
        <v>5</v>
      </c>
      <c r="J41" s="58" t="s">
        <v>617</v>
      </c>
      <c r="K41" s="58" t="s">
        <v>631</v>
      </c>
      <c r="O41" s="58" t="s">
        <v>420</v>
      </c>
      <c r="P41" s="58" t="s">
        <v>417</v>
      </c>
    </row>
    <row r="42" spans="1:20" x14ac:dyDescent="0.25">
      <c r="H42" s="58" t="s">
        <v>630</v>
      </c>
      <c r="K42" s="58" t="s">
        <v>632</v>
      </c>
      <c r="L42" s="58" t="s">
        <v>633</v>
      </c>
      <c r="O42" s="58" t="s">
        <v>664</v>
      </c>
      <c r="P42" s="58" t="s">
        <v>665</v>
      </c>
    </row>
    <row r="43" spans="1:20" x14ac:dyDescent="0.25">
      <c r="H43" s="58" t="s">
        <v>629</v>
      </c>
      <c r="I43" s="58" t="s">
        <v>5</v>
      </c>
      <c r="J43" s="58" t="s">
        <v>626</v>
      </c>
      <c r="K43" s="58" t="s">
        <v>418</v>
      </c>
      <c r="O43" s="58" t="s">
        <v>666</v>
      </c>
      <c r="P43" s="58" t="s">
        <v>667</v>
      </c>
    </row>
    <row r="44" spans="1:20" x14ac:dyDescent="0.25">
      <c r="H44" s="58" t="s">
        <v>627</v>
      </c>
      <c r="I44" s="58" t="s">
        <v>6</v>
      </c>
      <c r="J44" s="58" t="s">
        <v>624</v>
      </c>
      <c r="K44" s="58" t="s">
        <v>625</v>
      </c>
      <c r="O44" s="58" t="s">
        <v>668</v>
      </c>
      <c r="P44" s="58" t="s">
        <v>371</v>
      </c>
    </row>
    <row r="45" spans="1:20" x14ac:dyDescent="0.25">
      <c r="H45" s="58" t="s">
        <v>628</v>
      </c>
      <c r="I45" s="58" t="s">
        <v>27</v>
      </c>
      <c r="J45" s="58" t="s">
        <v>34</v>
      </c>
      <c r="K45" s="58" t="s">
        <v>419</v>
      </c>
      <c r="O45" s="58" t="s">
        <v>669</v>
      </c>
      <c r="P45" s="58" t="s">
        <v>670</v>
      </c>
    </row>
    <row r="46" spans="1:20" x14ac:dyDescent="0.25">
      <c r="H46" s="58" t="s">
        <v>97</v>
      </c>
      <c r="I46" s="58" t="s">
        <v>29</v>
      </c>
      <c r="J46" s="58" t="s">
        <v>34</v>
      </c>
      <c r="K46" s="58" t="s">
        <v>618</v>
      </c>
      <c r="L46" s="58" t="s">
        <v>638</v>
      </c>
    </row>
    <row r="47" spans="1:20" x14ac:dyDescent="0.25">
      <c r="G47" s="58" t="s">
        <v>637</v>
      </c>
      <c r="H47" s="58" t="s">
        <v>423</v>
      </c>
      <c r="I47" s="58" t="s">
        <v>32</v>
      </c>
      <c r="J47" s="58" t="s">
        <v>635</v>
      </c>
      <c r="K47" s="58" t="s">
        <v>636</v>
      </c>
    </row>
    <row r="48" spans="1:20" x14ac:dyDescent="0.25">
      <c r="H48" s="58" t="s">
        <v>621</v>
      </c>
      <c r="I48" s="58" t="s">
        <v>33</v>
      </c>
      <c r="J48" s="58" t="s">
        <v>619</v>
      </c>
      <c r="K48" s="58" t="s">
        <v>620</v>
      </c>
    </row>
    <row r="49" spans="8:16" x14ac:dyDescent="0.25">
      <c r="H49" s="58" t="s">
        <v>622</v>
      </c>
      <c r="I49" s="58" t="s">
        <v>35</v>
      </c>
      <c r="J49" s="58" t="s">
        <v>6</v>
      </c>
      <c r="K49" s="58" t="s">
        <v>613</v>
      </c>
      <c r="L49" s="58" t="s">
        <v>639</v>
      </c>
    </row>
    <row r="51" spans="8:16" x14ac:dyDescent="0.25">
      <c r="H51" s="58" t="s">
        <v>423</v>
      </c>
      <c r="K51" s="58" t="s">
        <v>623</v>
      </c>
      <c r="P51" s="106" t="str" cm="1">
        <f t="array" ref="P51">Asc2Str(K51)</f>
        <v>m³jwíO#UºMîGè+Ç,²î{LP½Ìˆ_x000B_KœbË’´</v>
      </c>
    </row>
    <row r="52" spans="8:16" x14ac:dyDescent="0.25">
      <c r="K52" s="58" t="s">
        <v>640</v>
      </c>
      <c r="P52" s="106" t="str" cm="1">
        <f t="array" ref="P52">Asc2Str(K52)</f>
        <v>nkõM%(ÄÕDLVeÅA_x0011_ôn„¼OöÆ¡juqÈÃv(@</v>
      </c>
    </row>
    <row r="53" spans="8:16" x14ac:dyDescent="0.25">
      <c r="K53" s="58" t="s">
        <v>641</v>
      </c>
      <c r="P53" s="106" t="str" cm="1">
        <f t="array" ref="P53">Asc2Str(K53)</f>
        <v>Í_x0005_a†#§Z
Ê}_x0018_Ìqšÿ`G_x000E_AK×‘|O_x001F_úœ”ŒLÈu</v>
      </c>
    </row>
    <row r="54" spans="8:16" x14ac:dyDescent="0.25">
      <c r="K54" s="58" t="s">
        <v>642</v>
      </c>
      <c r="P54" s="106" t="str" cm="1">
        <f t="array" ref="P54">Asc2Str(K54)</f>
        <v>¢‚[,1D… P÷ï§U“`ö©«å_x001E__x001F__x0006__x0018_¯˜	Mâ'h×</v>
      </c>
    </row>
    <row r="57" spans="8:16" x14ac:dyDescent="0.25">
      <c r="K57" s="58" t="s">
        <v>645</v>
      </c>
    </row>
    <row r="58" spans="8:16" x14ac:dyDescent="0.25">
      <c r="K58" s="58" t="s">
        <v>650</v>
      </c>
    </row>
    <row r="59" spans="8:16" x14ac:dyDescent="0.25">
      <c r="K59" s="58" t="s">
        <v>651</v>
      </c>
    </row>
    <row r="61" spans="8:16" x14ac:dyDescent="0.25">
      <c r="H61" s="58" t="s">
        <v>646</v>
      </c>
      <c r="K61" s="58" t="s">
        <v>647</v>
      </c>
    </row>
    <row r="62" spans="8:16" x14ac:dyDescent="0.25">
      <c r="H62" s="58" t="s">
        <v>649</v>
      </c>
      <c r="K62" s="58" t="s">
        <v>648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B1AC9-BF52-4B31-B420-8850B3D13EFB}">
  <sheetPr codeName="Sheet1"/>
  <dimension ref="B1:R21"/>
  <sheetViews>
    <sheetView showGridLines="0" workbookViewId="0">
      <selection activeCell="G21" sqref="G21"/>
    </sheetView>
  </sheetViews>
  <sheetFormatPr defaultRowHeight="15" x14ac:dyDescent="0.25"/>
  <cols>
    <col min="1" max="16" width="9.140625" style="1"/>
    <col min="17" max="17" width="11.28515625" style="1" bestFit="1" customWidth="1"/>
    <col min="18" max="16384" width="9.140625" style="1"/>
  </cols>
  <sheetData>
    <row r="1" spans="2:18" x14ac:dyDescent="0.25">
      <c r="B1" s="2" t="s">
        <v>106</v>
      </c>
      <c r="C1" s="1" t="s">
        <v>105</v>
      </c>
    </row>
    <row r="2" spans="2:18" hidden="1" x14ac:dyDescent="0.25">
      <c r="B2" s="2" t="s">
        <v>107</v>
      </c>
      <c r="C2" s="1" t="str">
        <f>"https://stagingapps.ocbc.com/Packages/CFS/MB/" &amp; MID(C1,11,(LEN(C1))-LEN(LEFT(C1,10))-LEN(MID(C1,FIND(CHAR(1),SUBSTITUTE(C1,"_",CHAR(1),LEN(C1)-LEN(SUBSTITUTE(C1,"_","")))),LEN(C1)-FIND(CHAR(1),SUBSTITUTE(C1,"_",CHAR(1),4))+1)))&amp; "/" &amp; C1 &amp; ".apk"</f>
        <v>https://stagingapps.ocbc.com/Packages/CFS/MB/SCANANDPAY/CFS_MB_SG_SCANANDPAY_UAT.apk</v>
      </c>
    </row>
    <row r="3" spans="2:18" hidden="1" x14ac:dyDescent="0.25">
      <c r="B3" s="2" t="s">
        <v>108</v>
      </c>
      <c r="C3" s="1" t="str">
        <f>"itms-services://?action=download-manifest&amp;url=https://stagingapps.ocbc.com/Packages/CFS/MB/" &amp; MID(C1,11,(LEN(C1))-LEN(LEFT(C1,10))-LEN(MID(C1,FIND(CHAR(1),SUBSTITUTE(C1,"_",CHAR(1),LEN(C1)-LEN(SUBSTITUTE(C1,"_","")))),LEN(C1)-FIND(CHAR(1),SUBSTITUTE(C1,"_",CHAR(1),4))+1)))&amp; "/" &amp; C1 &amp; ".plist"</f>
        <v>itms-services://?action=download-manifest&amp;url=https://stagingapps.ocbc.com/Packages/CFS/MB/SCANANDPAY/CFS_MB_SG_SCANANDPAY_UAT.plist</v>
      </c>
    </row>
    <row r="4" spans="2:18" ht="15.75" thickBot="1" x14ac:dyDescent="0.3"/>
    <row r="5" spans="2:18" x14ac:dyDescent="0.25">
      <c r="B5" s="151"/>
      <c r="C5" s="152"/>
      <c r="D5" s="152"/>
      <c r="E5" s="152"/>
      <c r="F5" s="153"/>
      <c r="H5" s="151"/>
      <c r="I5" s="152"/>
      <c r="J5" s="152"/>
      <c r="K5" s="152"/>
      <c r="L5" s="153"/>
    </row>
    <row r="6" spans="2:18" x14ac:dyDescent="0.25">
      <c r="B6" s="154"/>
      <c r="C6" s="155"/>
      <c r="D6" s="155"/>
      <c r="E6" s="155"/>
      <c r="F6" s="156"/>
      <c r="H6" s="154"/>
      <c r="I6" s="155"/>
      <c r="J6" s="155"/>
      <c r="K6" s="155"/>
      <c r="L6" s="156"/>
    </row>
    <row r="7" spans="2:18" x14ac:dyDescent="0.25">
      <c r="B7" s="154"/>
      <c r="C7" s="155"/>
      <c r="D7" s="155"/>
      <c r="E7" s="155"/>
      <c r="F7" s="156"/>
      <c r="H7" s="154"/>
      <c r="I7" s="155"/>
      <c r="J7" s="155"/>
      <c r="K7" s="155"/>
      <c r="L7" s="156"/>
      <c r="P7" s="2" t="s">
        <v>411</v>
      </c>
      <c r="Q7" s="77">
        <v>44405</v>
      </c>
      <c r="R7" s="82" t="s">
        <v>453</v>
      </c>
    </row>
    <row r="8" spans="2:18" x14ac:dyDescent="0.25">
      <c r="B8" s="154"/>
      <c r="C8" s="155"/>
      <c r="D8" s="155"/>
      <c r="E8" s="155"/>
      <c r="F8" s="156"/>
      <c r="H8" s="154"/>
      <c r="I8" s="155"/>
      <c r="J8" s="155"/>
      <c r="K8" s="155"/>
      <c r="L8" s="156"/>
    </row>
    <row r="9" spans="2:18" x14ac:dyDescent="0.25">
      <c r="B9" s="154"/>
      <c r="C9" s="155"/>
      <c r="D9" s="155"/>
      <c r="E9" s="155"/>
      <c r="F9" s="156"/>
      <c r="H9" s="154"/>
      <c r="I9" s="155"/>
      <c r="J9" s="155"/>
      <c r="K9" s="155"/>
      <c r="L9" s="156"/>
    </row>
    <row r="10" spans="2:18" x14ac:dyDescent="0.25">
      <c r="B10" s="154"/>
      <c r="C10" s="155"/>
      <c r="D10" s="155"/>
      <c r="E10" s="155"/>
      <c r="F10" s="156"/>
      <c r="H10" s="154"/>
      <c r="I10" s="155"/>
      <c r="J10" s="155"/>
      <c r="K10" s="155"/>
      <c r="L10" s="156"/>
    </row>
    <row r="11" spans="2:18" x14ac:dyDescent="0.25">
      <c r="B11" s="154"/>
      <c r="C11" s="155"/>
      <c r="D11" s="155"/>
      <c r="E11" s="155"/>
      <c r="F11" s="156"/>
      <c r="H11" s="154"/>
      <c r="I11" s="155"/>
      <c r="J11" s="155"/>
      <c r="K11" s="155"/>
      <c r="L11" s="156"/>
    </row>
    <row r="12" spans="2:18" x14ac:dyDescent="0.25">
      <c r="B12" s="154"/>
      <c r="C12" s="155"/>
      <c r="D12" s="155"/>
      <c r="E12" s="155"/>
      <c r="F12" s="156"/>
      <c r="H12" s="154"/>
      <c r="I12" s="155"/>
      <c r="J12" s="155"/>
      <c r="K12" s="155"/>
      <c r="L12" s="156"/>
    </row>
    <row r="13" spans="2:18" x14ac:dyDescent="0.25">
      <c r="B13" s="154"/>
      <c r="C13" s="155"/>
      <c r="D13" s="155"/>
      <c r="E13" s="155"/>
      <c r="F13" s="156"/>
      <c r="H13" s="154"/>
      <c r="I13" s="155"/>
      <c r="J13" s="155"/>
      <c r="K13" s="155"/>
      <c r="L13" s="156"/>
    </row>
    <row r="14" spans="2:18" x14ac:dyDescent="0.25">
      <c r="B14" s="154"/>
      <c r="C14" s="155"/>
      <c r="D14" s="155"/>
      <c r="E14" s="155"/>
      <c r="F14" s="156"/>
      <c r="H14" s="154"/>
      <c r="I14" s="155"/>
      <c r="J14" s="155"/>
      <c r="K14" s="155"/>
      <c r="L14" s="156"/>
    </row>
    <row r="15" spans="2:18" x14ac:dyDescent="0.25">
      <c r="B15" s="154"/>
      <c r="C15" s="155"/>
      <c r="D15" s="155"/>
      <c r="E15" s="155"/>
      <c r="F15" s="156"/>
      <c r="H15" s="154"/>
      <c r="I15" s="155"/>
      <c r="J15" s="155"/>
      <c r="K15" s="155"/>
      <c r="L15" s="156"/>
    </row>
    <row r="16" spans="2:18" x14ac:dyDescent="0.25">
      <c r="B16" s="154"/>
      <c r="C16" s="155"/>
      <c r="D16" s="155"/>
      <c r="E16" s="155"/>
      <c r="F16" s="156"/>
      <c r="H16" s="154"/>
      <c r="I16" s="155"/>
      <c r="J16" s="155"/>
      <c r="K16" s="155"/>
      <c r="L16" s="156"/>
    </row>
    <row r="17" spans="2:12" x14ac:dyDescent="0.25">
      <c r="B17" s="154"/>
      <c r="C17" s="155"/>
      <c r="D17" s="155"/>
      <c r="E17" s="155"/>
      <c r="F17" s="156"/>
      <c r="H17" s="154"/>
      <c r="I17" s="155"/>
      <c r="J17" s="155"/>
      <c r="K17" s="155"/>
      <c r="L17" s="156"/>
    </row>
    <row r="18" spans="2:12" x14ac:dyDescent="0.25">
      <c r="B18" s="154"/>
      <c r="C18" s="155"/>
      <c r="D18" s="155"/>
      <c r="E18" s="155"/>
      <c r="F18" s="156"/>
      <c r="H18" s="154"/>
      <c r="I18" s="155"/>
      <c r="J18" s="155"/>
      <c r="K18" s="155"/>
      <c r="L18" s="156"/>
    </row>
    <row r="19" spans="2:12" ht="15.75" thickBot="1" x14ac:dyDescent="0.3">
      <c r="B19" s="157"/>
      <c r="C19" s="158"/>
      <c r="D19" s="158"/>
      <c r="E19" s="158"/>
      <c r="F19" s="159"/>
      <c r="H19" s="157"/>
      <c r="I19" s="158"/>
      <c r="J19" s="158"/>
      <c r="K19" s="158"/>
      <c r="L19" s="159"/>
    </row>
    <row r="21" spans="2:12" x14ac:dyDescent="0.25">
      <c r="D21" s="51" t="s">
        <v>103</v>
      </c>
      <c r="J21" s="51" t="s">
        <v>104</v>
      </c>
    </row>
  </sheetData>
  <mergeCells count="2">
    <mergeCell ref="B5:F19"/>
    <mergeCell ref="H5:L19"/>
  </mergeCells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61400E6AFE4CA49ADEBE177CAB5C7DE" ma:contentTypeVersion="10" ma:contentTypeDescription="Create a new document." ma:contentTypeScope="" ma:versionID="3c02bcfbf963cf12c8d8909e34734a38">
  <xsd:schema xmlns:xsd="http://www.w3.org/2001/XMLSchema" xmlns:xs="http://www.w3.org/2001/XMLSchema" xmlns:p="http://schemas.microsoft.com/office/2006/metadata/properties" xmlns:ns3="4a8b907c-fea5-4654-9b8b-f216a5b49322" xmlns:ns4="b2a46c7f-dd18-4d6d-b654-45c199c7fc44" targetNamespace="http://schemas.microsoft.com/office/2006/metadata/properties" ma:root="true" ma:fieldsID="dff4643accda9a3420fb0624947373ac" ns3:_="" ns4:_="">
    <xsd:import namespace="4a8b907c-fea5-4654-9b8b-f216a5b49322"/>
    <xsd:import namespace="b2a46c7f-dd18-4d6d-b654-45c199c7fc44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8b907c-fea5-4654-9b8b-f216a5b4932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2a46c7f-dd18-4d6d-b654-45c199c7fc44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7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C0A340-D9DD-48D5-A965-D0EF049FD041}">
  <ds:schemaRefs>
    <ds:schemaRef ds:uri="http://schemas.microsoft.com/office/2006/documentManagement/types"/>
    <ds:schemaRef ds:uri="http://purl.org/dc/elements/1.1/"/>
    <ds:schemaRef ds:uri="http://purl.org/dc/dcmitype/"/>
    <ds:schemaRef ds:uri="http://schemas.microsoft.com/office/infopath/2007/PartnerControls"/>
    <ds:schemaRef ds:uri="http://schemas.microsoft.com/office/2006/metadata/properties"/>
    <ds:schemaRef ds:uri="http://schemas.openxmlformats.org/package/2006/metadata/core-properties"/>
    <ds:schemaRef ds:uri="b2a46c7f-dd18-4d6d-b654-45c199c7fc44"/>
    <ds:schemaRef ds:uri="4a8b907c-fea5-4654-9b8b-f216a5b49322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F441242E-5C5D-46A1-B17F-EC1F1C203D47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2C439DB7-600B-4055-B7A9-7DB4C2AA3A9E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F5E00712-6BEF-4160-8236-539D8542AED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a8b907c-fea5-4654-9b8b-f216a5b49322"/>
    <ds:schemaRef ds:uri="b2a46c7f-dd18-4d6d-b654-45c199c7fc4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Decode</vt:lpstr>
      <vt:lpstr>Encode</vt:lpstr>
      <vt:lpstr>DrawTab</vt:lpstr>
      <vt:lpstr>Samples</vt:lpstr>
      <vt:lpstr>InstallerQR</vt:lpstr>
      <vt:lpstr>QRBOX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GohReikoJazereelLydia@ocbc.com</dc:creator>
  <cp:keywords>QR</cp:keywords>
  <cp:lastModifiedBy>Jazereel Lydia Goh Reiko</cp:lastModifiedBy>
  <dcterms:created xsi:type="dcterms:W3CDTF">2016-12-30T22:45:20Z</dcterms:created>
  <dcterms:modified xsi:type="dcterms:W3CDTF">2021-12-04T13:49:28Z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0x010100B61400E6AFE4CA49ADEBE177CAB5C7DE</vt:lpwstr>
  </property>
</Properties>
</file>